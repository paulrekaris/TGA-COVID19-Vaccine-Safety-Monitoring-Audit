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filterPrivacy="1" defaultThemeVersion="166925"/>
  <xr:revisionPtr revIDLastSave="0" documentId="13_ncr:1_{EFCC447F-3C46-E248-802A-9A45702DE13C}" xr6:coauthVersionLast="47" xr6:coauthVersionMax="47" xr10:uidLastSave="{00000000-0000-0000-0000-000000000000}"/>
  <bookViews>
    <workbookView xWindow="0" yWindow="0" windowWidth="38400" windowHeight="21600" activeTab="2" xr2:uid="{51658058-8315-A640-B733-1DFC39D6EEC8}"/>
  </bookViews>
  <sheets>
    <sheet name="README" sheetId="9" r:id="rId1"/>
    <sheet name="Summary" sheetId="2" r:id="rId2"/>
    <sheet name="Methodology" sheetId="3" r:id="rId3"/>
    <sheet name="Rating Criteria" sheetId="10" r:id="rId4"/>
    <sheet name="Evidence Matrix" sheetId="7" r:id="rId5"/>
    <sheet name="Output Assessment" sheetId="5" r:id="rId6"/>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2" l="1"/>
  <c r="E10" i="2"/>
  <c r="B27" i="2"/>
  <c r="E11" i="2"/>
  <c r="E12" i="2"/>
  <c r="E16" i="2"/>
  <c r="E17" i="2"/>
  <c r="D17" i="2"/>
  <c r="C17" i="2"/>
  <c r="B17" i="2"/>
  <c r="B7" i="2"/>
  <c r="C4" i="2"/>
  <c r="C5" i="2"/>
  <c r="C6" i="2"/>
  <c r="C7" i="2"/>
</calcChain>
</file>

<file path=xl/sharedStrings.xml><?xml version="1.0" encoding="utf-8"?>
<sst xmlns="http://schemas.openxmlformats.org/spreadsheetml/2006/main" count="692" uniqueCount="527">
  <si>
    <t>Output ID</t>
  </si>
  <si>
    <t>Status</t>
  </si>
  <si>
    <t>Rating (1-5)</t>
  </si>
  <si>
    <t>Evidence Sources</t>
  </si>
  <si>
    <t>Findings</t>
  </si>
  <si>
    <t>Documentation Gaps</t>
  </si>
  <si>
    <t>Key References</t>
  </si>
  <si>
    <t>Enhanced reporting of AEFI</t>
  </si>
  <si>
    <t>Fully Implemented</t>
  </si>
  <si>
    <t>FOI 3643, FOI 25-0166, TGA public website, 150+ weekly safety reports, OAIC searches</t>
  </si>
  <si>
    <t>Information on how to report AEFI published on TGA website; public communications campaign documented; 150+ weekly/fortnightly safety reports published March 2021-November 2023 demonstrating consistent public reporting</t>
  </si>
  <si>
    <t>None - fully documented and operational system with clear public outputs</t>
  </si>
  <si>
    <t>TGA COVID-19 Vaccine Safety Reports archive; TGA website reporting information; Surveillance Analysis (150+ reports documented)</t>
  </si>
  <si>
    <t>Enhanced AEFI reporting forms</t>
  </si>
  <si>
    <t>FOI 3643, TGA public forms, OAIC searches</t>
  </si>
  <si>
    <t>Updated TGA AEFI forms published and publicly available; forms contain COVID-19 specific fields; evidence of form updates in 2021</t>
  </si>
  <si>
    <t>None - forms updated and publicly available</t>
  </si>
  <si>
    <t>TGA AEFI reporting forms (publicly available); FOI 3643 references form updates</t>
  </si>
  <si>
    <t>Enhanced AEFI report sharing</t>
  </si>
  <si>
    <t>FOI 3643, FOI 25-0166, OAIC MR22/00538 searches</t>
  </si>
  <si>
    <t>Weekly reports show aggregate data sharing occurred; state/territory data visible in reports indicating some sharing mechanisms existed</t>
  </si>
  <si>
    <t>No documented criteria and processes for timely sharing of reports between TGA and jurisdictions; no documented data-sharing protocols or agreements; automated data flows likely existed but no framework documentation identified</t>
  </si>
  <si>
    <t>TGA Weekly Safety Reports (state/territory data visible); OAIC searches found no sharing protocols; FOI 3643 no framework docs</t>
  </si>
  <si>
    <t>FOI 3643, FOI 25-0166, OAIC MR22/00538 searches, TGA weekly reports</t>
  </si>
  <si>
    <t>Evidence of significant activity: 140,000+ DAEN reports processed, 150+ weekly reports produced over 33 months; data processing clearly occurred at scale</t>
  </si>
  <si>
    <t>No documentation of enhanced database preparation, new system protocols, or COVID-specific data infrastructure; processing occurred but whether 'enhanced' vs routine systems unclear</t>
  </si>
  <si>
    <t>Surveillance Analysis (140,000+ DAEN reports documented); OAIC searches found no system enhancement documentation; Senate testimony: 'day-to-day processes'</t>
  </si>
  <si>
    <t>Clinical reviews of serious cases clearly occurred; 148 signals investigated demonstrating escalation processes existed; 57 regulatory actions taken</t>
  </si>
  <si>
    <t>No documented COVID-specific escalation criteria; no updated SOPs for COVID vaccine escalation; criteria for what triggers escalation vs routine handling not documented</t>
  </si>
  <si>
    <t>Surveillance Analysis (148 signals investigated); OAIC searches found no escalation protocols; FOI 3643 no COVID-specific criteria</t>
  </si>
  <si>
    <t>Not Documented</t>
  </si>
  <si>
    <t>Active surveillance (AusVaxSafety)</t>
  </si>
  <si>
    <t>Clinical studies and reports</t>
  </si>
  <si>
    <t>Environmental scanning</t>
  </si>
  <si>
    <t>International safety signals</t>
  </si>
  <si>
    <t>FOI 3643, FOI 25-0166, OAIC MR22/00538 searches, TGA public statements</t>
  </si>
  <si>
    <t>TGA co-chaired ICMRA COVID-19 Vaccine Safety working group; international engagement clearly occurred; some information sharing evidenced in TGA statements</t>
  </si>
  <si>
    <t>No documented processes for systematic information sharing with international regulators; no protocols for how international signals incorporated into Australian assessments</t>
  </si>
  <si>
    <t>TGA ICMRA participation documented publicly; OAIC searches found no information-sharing protocols; Surveillance Analysis notes international engagement but no systematic framework</t>
  </si>
  <si>
    <t>Expert advice</t>
  </si>
  <si>
    <t>FOI 3643, TGA website, 150+ weekly safety reports, TGA media releases, public statements</t>
  </si>
  <si>
    <t>150+ weekly/fortnightly safety reports published March 2021-November 2023; TGA media releases on regulatory actions; public website content; consumer information materials</t>
  </si>
  <si>
    <t>None - extensive public communication documented</t>
  </si>
  <si>
    <t>Surveillance Analysis (150+ reports documented); TGA COVID-19 Vaccine Safety Reports archive; TGA media releases; TGA website communications</t>
  </si>
  <si>
    <t>No documented framework or protocol for systematic integration of data sources; no documented methodology for reconciling DAEN vs AusVaxSafety; Phillips et al (2021) identified 'parallel systems' gap</t>
  </si>
  <si>
    <t>National collaborations</t>
  </si>
  <si>
    <t>FOI 3643, FOI 25-0166, OAIC MR22/00538 searches, TGA weekly reports (state data visible)</t>
  </si>
  <si>
    <t>Collaboration with state/territory health departments clearly occurred; data from jurisdictions appears in TGA reports; meetings and coordination evidenced</t>
  </si>
  <si>
    <t>No documented frameworks for systematic national coordination; no formal agreements or MoUs identified; coordination ACTIVITY occurred but formal FRAMEWORKS not documented</t>
  </si>
  <si>
    <t>Surveillance Analysis (state/territory data in reports shows coordination); OAIC searches found no collaboration frameworks; FOI 3643 no coordination protocols</t>
  </si>
  <si>
    <t>International collaborations</t>
  </si>
  <si>
    <t>FOI 3643, FOI 25-0166, OAIC MR22/00538 searches, TGA ICMRA statements</t>
  </si>
  <si>
    <t>TGA participated in ICMRA COVID-19 Vaccine Safety working group (co-chair documented); international regulatory engagement occurred</t>
  </si>
  <si>
    <t>No documented processes for systematic international information sharing beyond ICMRA participation; formal information exchange protocols not evidenced</t>
  </si>
  <si>
    <t>TGA ICMRA participation documented; OAIC searches found no systematic information-sharing protocols; Output 2.7 covers similar ground</t>
  </si>
  <si>
    <t>GOV.1</t>
  </si>
  <si>
    <t>Implementation oversight</t>
  </si>
  <si>
    <t>Governance</t>
  </si>
  <si>
    <t>GOV.2</t>
  </si>
  <si>
    <t>Performance measurement</t>
  </si>
  <si>
    <t>FOI 3643, FOI 25-0166, OAIC MR22/00538 searches, Senate testimony Oct 2025, Surveillance Analysis (150+ reports)</t>
  </si>
  <si>
    <t>Assessment Evidence Matrix - Summary Dashboard</t>
  </si>
  <si>
    <t>OVERALL STATUS SUMMARY</t>
  </si>
  <si>
    <t>Count</t>
  </si>
  <si>
    <t>Percentage</t>
  </si>
  <si>
    <t>TOTAL</t>
  </si>
  <si>
    <t>STATUS BY OBJECTIVE</t>
  </si>
  <si>
    <t>Total</t>
  </si>
  <si>
    <t>RATING BY OBJECTIVE</t>
  </si>
  <si>
    <t>Avg Rating</t>
  </si>
  <si>
    <t>Min</t>
  </si>
  <si>
    <t>Max</t>
  </si>
  <si>
    <t>OVERALL</t>
  </si>
  <si>
    <t>Overview</t>
  </si>
  <si>
    <t>This audit operates within defined methodological boundaries consistent with ISO 19011:2018 (management systems auditing), ANAO performance audit methodology, and OSINT best practice.</t>
  </si>
  <si>
    <t>Complete Methodology: ISO 19011 Management Systems Audit</t>
  </si>
  <si>
    <t>Key Assumptions</t>
  </si>
  <si>
    <t>Assumption</t>
  </si>
  <si>
    <t>Basis</t>
  </si>
  <si>
    <t>Properly implemented government policies should be documented</t>
  </si>
  <si>
    <t>Commonwealth accountability frameworks require documented evidence of performance (PGPA Act 2013 s37, Archives Act 1983)</t>
  </si>
  <si>
    <t>Senate testimony under parliamentary privilege is reliable</t>
  </si>
  <si>
    <t>Published monitoring activities reflect documented processes</t>
  </si>
  <si>
    <t>If enhanced monitoring was systematically implemented per the Plan framework, evidence should be visible in 150+ published safety reports across 33 months</t>
  </si>
  <si>
    <t>Absence of documentation in accessible records constitutes accountability gap</t>
  </si>
  <si>
    <t>Under Commonwealth governance, inability to verify implementation through documentation represents failure of accountability mechanisms, not proof activities didn't occur</t>
  </si>
  <si>
    <t>Audit conclusions drawn from available evidence are valid</t>
  </si>
  <si>
    <t>Methodological Limitations</t>
  </si>
  <si>
    <t>Access Limitations</t>
  </si>
  <si>
    <t>Limitation</t>
  </si>
  <si>
    <t>Description</t>
  </si>
  <si>
    <t>Impact on Audit</t>
  </si>
  <si>
    <t>No internal access</t>
  </si>
  <si>
    <t>No access to TGA internal systems, databases, or non-public records</t>
  </si>
  <si>
    <t>Cannot verify undocumented internal processes; reliant on documented evidence only</t>
  </si>
  <si>
    <t>No staff interviews</t>
  </si>
  <si>
    <t>No direct consultation with TGA personnel or operational walkthroughs</t>
  </si>
  <si>
    <t>Cannot assess tacit knowledge or informal practices; reliant on formal documentation</t>
  </si>
  <si>
    <t>No on-site verification</t>
  </si>
  <si>
    <t>All assessment based on documentary evidence only</t>
  </si>
  <si>
    <t>Cannot observe operational processes; must rely on documented outputs and admissions</t>
  </si>
  <si>
    <t>Evidence Constraints</t>
  </si>
  <si>
    <t>Constraint</t>
  </si>
  <si>
    <t>FOI dependency</t>
  </si>
  <si>
    <t>Reliant on TGA's FOI responsiveness and record-keeping quality</t>
  </si>
  <si>
    <t>Evidence base limited to what TGA discloses or confirms doesn't exist through FOI processes</t>
  </si>
  <si>
    <t>Public records only</t>
  </si>
  <si>
    <t>Limited to publicly released or FOI-obtained documentation</t>
  </si>
  <si>
    <t>Cannot access documents exempted from FOI or never created/retained</t>
  </si>
  <si>
    <t>Search limitations</t>
  </si>
  <si>
    <t>Resource Constraints</t>
  </si>
  <si>
    <t>Single auditor</t>
  </si>
  <si>
    <t>Independent researcher without institutional backing or team resources</t>
  </si>
  <si>
    <t>Limited capacity compared to government audit bodies; compensated through systematic methodology and extended timeframe</t>
  </si>
  <si>
    <t>No formal peer review</t>
  </si>
  <si>
    <t>Citizen-led audit without formal peer review process during evidence collection</t>
  </si>
  <si>
    <t>Quality assurance through methodology transparency, public repository enabling scrutiny, and adherence to established audit standards</t>
  </si>
  <si>
    <t>Time limitations</t>
  </si>
  <si>
    <t>Four-year investigation period (2022-2026) may not capture all relevant documentation</t>
  </si>
  <si>
    <t>Extended timeframe provides thorough coverage but cannot guarantee all future disclosures captured</t>
  </si>
  <si>
    <t>Scope Boundaries</t>
  </si>
  <si>
    <t>Boundary</t>
  </si>
  <si>
    <t>What's Excluded</t>
  </si>
  <si>
    <t>Documentation focus only</t>
  </si>
  <si>
    <t>Examines documented evidence of Plan implementation</t>
  </si>
  <si>
    <t>Does not assess clinical safety/efficacy of vaccines, appropriateness of individual regulatory decisions, or operational competence of TGA staff</t>
  </si>
  <si>
    <t>Process audit</t>
  </si>
  <si>
    <t>Evaluates documented evidence of implementation, not internal tacit knowledge</t>
  </si>
  <si>
    <t>Does not assess undocumented practices, informal processes, or staff expertise/intentions</t>
  </si>
  <si>
    <t>Commonwealth focus</t>
  </si>
  <si>
    <t>Primarily examines TGA responsibilities under Commonwealth frameworks</t>
  </si>
  <si>
    <t>Limited visibility into state/territory implementation; focuses on federal accountability mechanisms</t>
  </si>
  <si>
    <t>Evidence Boundaries and Assurance Level</t>
  </si>
  <si>
    <t>ISO 19011 Foundational Principle:</t>
  </si>
  <si>
    <t>Evidence Sources Within Audit Boundaries</t>
  </si>
  <si>
    <t>Source Category</t>
  </si>
  <si>
    <t>Specific Sources</t>
  </si>
  <si>
    <t>Evidence Quality</t>
  </si>
  <si>
    <t>Limitations</t>
  </si>
  <si>
    <t>1. Publicly Accessible Sources</t>
  </si>
  <si>
    <t>TGA website, published safety reports (150+), regulatory guidance, parliamentary records (Senate Hansard), partner organisation reports (AusVaxSafety, NCIRS), academic peer-reviewed literature</t>
  </si>
  <si>
    <t>High - independently verifiable, publicly available</t>
  </si>
  <si>
    <t>Limited to what TGA chooses to publish; may not reflect complete implementation picture</t>
  </si>
  <si>
    <t>2. FOI-Obtained Documents</t>
  </si>
  <si>
    <t>FOI 3643, FOI 4029-03, FOI 5082, FOI 5275, FOI 25-0166; systematic review of 500+ FOI releases (2020-2025)</t>
  </si>
  <si>
    <t>High - formal government records released under statutory process</t>
  </si>
  <si>
    <t>Subject to FOI exemptions; reliant on TGA record-keeping and search adequacy</t>
  </si>
  <si>
    <t>4. Senate Testimony Under Privilege</t>
  </si>
  <si>
    <t>Limited to what officials choose to disclose; subject to interpretation of questions</t>
  </si>
  <si>
    <t>5. Independent Verification</t>
  </si>
  <si>
    <t>OAIC Decision [2025] AICmr 54 (independent statutory oversight), Sparke Helmore legal analysis (independent law firm assessment), academic literature (Phillips et al 2021, Glover et al 2024)</t>
  </si>
  <si>
    <t>Limited scope of independent reviews; not all aspects independently verified</t>
  </si>
  <si>
    <t>Assurance Level Statement</t>
  </si>
  <si>
    <t>This audit provides reasonable assurance (not absolute certainty) based on systematic evidence collection within defined boundaries.</t>
  </si>
  <si>
    <t>This assurance level is consistent with:</t>
  </si>
  <si>
    <r>
      <t>ISO 19011:</t>
    </r>
    <r>
      <rPr>
        <sz val="12"/>
        <color theme="1"/>
        <rFont val="Calibri"/>
        <family val="2"/>
        <scheme val="minor"/>
      </rPr>
      <t xml:space="preserve"> Management systems auditing standards (conclusions from available evidence)</t>
    </r>
  </si>
  <si>
    <r>
      <t>ANAO:</t>
    </r>
    <r>
      <rPr>
        <sz val="12"/>
        <color theme="1"/>
        <rFont val="Calibri"/>
        <family val="2"/>
        <scheme val="minor"/>
      </rPr>
      <t xml:space="preserve"> Performance audit methodology for Commonwealth entities (reasonable assurance standard)</t>
    </r>
  </si>
  <si>
    <r>
      <t>OSINT:</t>
    </r>
    <r>
      <rPr>
        <sz val="12"/>
        <color theme="1"/>
        <rFont val="Calibri"/>
        <family val="2"/>
        <scheme val="minor"/>
      </rPr>
      <t xml:space="preserve"> Best practice for publicly verifiable information analysis (systematic collection and verification)</t>
    </r>
  </si>
  <si>
    <t>Critical Distinction:</t>
  </si>
  <si>
    <t>Burden of Proof</t>
  </si>
  <si>
    <t>TGA may address audit findings by:</t>
  </si>
  <si>
    <t>Producing documentation demonstrating systematic Plan implementation</t>
  </si>
  <si>
    <t>Explaining why Cabinet-endorsed policy was implemented without systematic tracking</t>
  </si>
  <si>
    <t>Implementing corrective actions to strengthen records management and accountability</t>
  </si>
  <si>
    <t>Complete burden of proof framework: ISO 19011 Audit - Burden of Proof Section</t>
  </si>
  <si>
    <t>METHODOLOGY</t>
  </si>
  <si>
    <t>Output Implementation Rating Criteria</t>
  </si>
  <si>
    <t>Rating Definitions</t>
  </si>
  <si>
    <t>Rating</t>
  </si>
  <si>
    <t>Symbol</t>
  </si>
  <si>
    <t>Definition</t>
  </si>
  <si>
    <t>Evidence Required</t>
  </si>
  <si>
    <t>Examples</t>
  </si>
  <si>
    <t>✓</t>
  </si>
  <si>
    <t>Plan output delivered as specified with complete, verifiable documentation and operational evidence</t>
  </si>
  <si>
    <t>(1) Published deliverables exist (forms, reports, communications), AND (2) No significant documentation gaps identified, AND (3) Output is publicly accessible/verifiable</t>
  </si>
  <si>
    <t>Partially Implemented</t>
  </si>
  <si>
    <t>◐</t>
  </si>
  <si>
    <t>(1) Clear evidence of activity/outputs (data collected, processes occurred), BUT (2) Enhanced protocols/frameworks not documented, OR (3) Integration between systems not evidenced, OR (4) Cannot distinguish "enhanced" from routine processes</t>
  </si>
  <si>
    <t>✗</t>
  </si>
  <si>
    <t>Critical Distinctions</t>
  </si>
  <si>
    <t>Distinction</t>
  </si>
  <si>
    <t>Explanation</t>
  </si>
  <si>
    <t>Why It Matters</t>
  </si>
  <si>
    <t>Activity vs Documentation</t>
  </si>
  <si>
    <t>"Partially Implemented" does NOT mean activity didn't occur—it means enhanced monitoring PROTOCOLS/FRAMEWORKS not documented as distinct from routine processes</t>
  </si>
  <si>
    <t>Deliverable vs Process</t>
  </si>
  <si>
    <t>Outputs producing public DELIVERABLES (forms, reports, communications) rated "Fully" if deliverables exist; outputs requiring systematic PROCESSES (protocols, integration, governance) require documentation of those processes</t>
  </si>
  <si>
    <t>Routine vs Enhanced</t>
  </si>
  <si>
    <t>Plan committed to ENHANCED monitoring beyond business-as-usual; "Partially" assigned when cannot distinguish enhanced processes from routine pharmacovigilance</t>
  </si>
  <si>
    <t>Absence of Evidence vs Evidence of Absence</t>
  </si>
  <si>
    <t>"Not Documented" = cannot verify through accessible records. Does NOT claim activity didn't occur, only that it cannot be verified through Commonwealth accountability mechanisms</t>
  </si>
  <si>
    <t>Critical for governance/accountability focus: audit assesses what can be VERIFIED through documentation, not what might have occurred internally without documentation</t>
  </si>
  <si>
    <t>Rating Decision Logic</t>
  </si>
  <si>
    <t>Decision Tree for Each Output:</t>
  </si>
  <si>
    <t>START: Does Plan output exist as public deliverable (form, report, communication)?</t>
  </si>
  <si>
    <t xml:space="preserve">  ├─ YES → Are there documentation gaps preventing verification?</t>
  </si>
  <si>
    <t xml:space="preserve">  │    ├─ NO → Rating: ✓ FULLY IMPLEMENTED</t>
  </si>
  <si>
    <t xml:space="preserve">  │    └─ YES → Rating: ◐ PARTIALLY IMPLEMENTED</t>
  </si>
  <si>
    <t xml:space="preserve">  │</t>
  </si>
  <si>
    <t xml:space="preserve">  └─ NO → Does output require systematic process/protocol/framework?</t>
  </si>
  <si>
    <t xml:space="preserve">       ├─ YES → Is process/protocol/framework documented?</t>
  </si>
  <si>
    <t xml:space="preserve">       │    ├─ YES, comprehensively → Rating: ✓ FULLY IMPLEMENTED</t>
  </si>
  <si>
    <t xml:space="preserve">       │    ├─ YES, but gaps/unclear → Rating: ◐ PARTIALLY IMPLEMENTED  </t>
  </si>
  <si>
    <t xml:space="preserve">       │    └─ NO, zero documentation → Rating: ✗ NOT DOCUMENTED</t>
  </si>
  <si>
    <t xml:space="preserve">       │</t>
  </si>
  <si>
    <t xml:space="preserve">       └─ NO → Is there evidence of activity/outputs?</t>
  </si>
  <si>
    <t xml:space="preserve">            ├─ YES, substantial → Rating: ◐ PARTIALLY IMPLEMENTED</t>
  </si>
  <si>
    <t xml:space="preserve">            ├─ YES, minimal → Rating: ◐ PARTIALLY IMPLEMENTED</t>
  </si>
  <si>
    <t xml:space="preserve">            └─ NO evidence → Rating: ✗ NOT DOCUMENTED</t>
  </si>
  <si>
    <t>Evidence Sufficiency Standards</t>
  </si>
  <si>
    <t>What Constitutes "Documented" for Each Output Type:</t>
  </si>
  <si>
    <t>Output Type</t>
  </si>
  <si>
    <t>Evidence Required for "Fully Implemented"</t>
  </si>
  <si>
    <t>Evidence Sufficient for "Partially"</t>
  </si>
  <si>
    <t>Evidence Absence = "Not Documented"</t>
  </si>
  <si>
    <t>Published materials exist and are accessible (website content, reports, media releases)</t>
  </si>
  <si>
    <t>Materials exist but some gaps in systematic delivery or framework</t>
  </si>
  <si>
    <t>No public communications or materials found</t>
  </si>
  <si>
    <t>Deliverable exists, publicly available, fit for purpose</t>
  </si>
  <si>
    <t>Deliverable exists but limitations/gaps identified</t>
  </si>
  <si>
    <t>Deliverable does not exist or not accessible</t>
  </si>
  <si>
    <t>Documented protocols/SOPs/frameworks exist showing systematic approach distinct from routine</t>
  </si>
  <si>
    <t>Documented integration protocols, data-sharing agreements, coordination frameworks showing systematic approach</t>
  </si>
  <si>
    <t>Activity occurred (data shared, coordination evident) but formal frameworks not documented</t>
  </si>
  <si>
    <t>No evidence of coordination or integration mechanisms</t>
  </si>
  <si>
    <t>Oversight committees documented, performance metrics tracked, progress reports exist</t>
  </si>
  <si>
    <t>Some governance elements exist but systematic tracking absent</t>
  </si>
  <si>
    <t>Falsifiability Principle</t>
  </si>
  <si>
    <t>All ratings are falsifiable through document production:</t>
  </si>
  <si>
    <t>Rating Changes Possible:</t>
  </si>
  <si>
    <t>TGA may address any rating by producing documentation demonstrating:</t>
  </si>
  <si>
    <t>Systematic implementation of the specific output</t>
  </si>
  <si>
    <t>Enhanced monitoring distinct from routine processes (where applicable)</t>
  </si>
  <si>
    <t>Governance/tracking mechanisms for the output (where applicable)</t>
  </si>
  <si>
    <t>Rating Application Examples</t>
  </si>
  <si>
    <t>Example 1: Fully Implemented (✓)</t>
  </si>
  <si>
    <t>Output 1.1 - Enhanced reporting of AEFI</t>
  </si>
  <si>
    <t>Evidence:</t>
  </si>
  <si>
    <t>Information on how to report AEFI published on TGA website</t>
  </si>
  <si>
    <t>Public communications campaign documented</t>
  </si>
  <si>
    <t>150+ weekly/fortnightly safety reports published March 2021-November 2023</t>
  </si>
  <si>
    <t>Example 2: Partially Implemented (◐)</t>
  </si>
  <si>
    <t>Output 2.4 - Active surveillance (AusVaxSafety)</t>
  </si>
  <si>
    <t>AusVaxSafety infrastructure operated effectively: 6,887,520 surveys completed</t>
  </si>
  <si>
    <t>62,000+ medical visits documented</t>
  </si>
  <si>
    <t>Data appears in TGA weekly reports</t>
  </si>
  <si>
    <t>Documentation Gaps:</t>
  </si>
  <si>
    <t>No documented coordination protocols between TGA and AusVaxSafety</t>
  </si>
  <si>
    <t>No integration methodology found</t>
  </si>
  <si>
    <t>OAIC searches did not use 'AusVaxSafety' as search term</t>
  </si>
  <si>
    <t>Example 3: Not Documented (✗)</t>
  </si>
  <si>
    <t>Output GOV.1 - Implementation oversight</t>
  </si>
  <si>
    <t>Evidence Searched:</t>
  </si>
  <si>
    <t>FOI 3643, FOI 25-0166</t>
  </si>
  <si>
    <t>Findings:</t>
  </si>
  <si>
    <t>No oversight committees documented</t>
  </si>
  <si>
    <t>No progress reports identified</t>
  </si>
  <si>
    <t>No performance metrics tracking against Plan outputs</t>
  </si>
  <si>
    <t>FOI 3643, FOI 4029-03, FOI 4029-05, OAIC MR22/00538 searches, ACV meeting statements</t>
  </si>
  <si>
    <t>FOI 4029-03 (ACV received Strategy 2.3 Sep 2021); FOI 4029-05 (VSIG operational, child deaths not referred); ACV Meeting Statements (published); Senate testimony (TGA "burn out" claim); OAIC MR22/00538 ('unable to meaningfully interpret' Objective 5 for advisory searches)</t>
  </si>
  <si>
    <t>Advisory Committee on Vaccines (ACV) existed and met regularly; FOI 4029-03 shows ACV received Strategy 2.3 presentation (Sep 2021); ACV meeting statements published; FOI 4029-05 shows Vaccine Safety Investigation Group (VSIG) operational during child death cases</t>
  </si>
  <si>
    <t>No documentation of standing COVID-19-specific advisory committee; no evidence of paediatric advisory group convening; VSIG operational (FOI 4029-05) but child deaths not referred for expert review despite mechanism existing; TGA "burn out" testimony contradicted by FOI evidence showing VSIG operational; OAIC searches noted Objective 5 'unable to meaningfully interpret' for advisory committee searches</t>
  </si>
  <si>
    <t>Plan Objective</t>
  </si>
  <si>
    <t>Evidence Sources Checked</t>
  </si>
  <si>
    <t>What Was Found</t>
  </si>
  <si>
    <t>Rating Justification</t>
  </si>
  <si>
    <t>Severity</t>
  </si>
  <si>
    <t>Timely collection and management of AEFI (Objective 1)</t>
  </si>
  <si>
    <t>✓ Fully Implemented</t>
  </si>
  <si>
    <t>⭐⭐⭐⭐⭐</t>
  </si>
  <si>
    <t>⭐⭐⭐</t>
  </si>
  <si>
    <t>Proactive signal identification and assessment (Objective 2)</t>
  </si>
  <si>
    <t>⭐⭐⭐⭐</t>
  </si>
  <si>
    <t>✗ Not Documented</t>
  </si>
  <si>
    <t>#</t>
  </si>
  <si>
    <t>The finding is absence of verifiable evidence, not evidence of absence. This audit cannot prove enhanced monitoring did not occur internally within TGA, but demonstrates it cannot be verified through accessible Commonwealth records—and that verification gap constitutes the accountability problem under Australia's public sector governance framework.</t>
  </si>
  <si>
    <t>RATING CRITERIA</t>
  </si>
  <si>
    <t>Why Partially: Massive active surveillance activity (6.8M surveys) demonstrating AusVaxSafety delivery. BUT Plan committed TGA to 'collaborate with AusVaxSafety' - collaboration PROTOCOLS not documented. No audit trail from surveys to TGA signals. Systems parallel not integrated.</t>
  </si>
  <si>
    <t>Data Input by Plan Objective</t>
  </si>
  <si>
    <t>◐ Partially Implemented</t>
  </si>
  <si>
    <t>TGA COVID-19 Vaccine Safety Plan - Evidence Matrix</t>
  </si>
  <si>
    <r>
      <t>Audit Framework:</t>
    </r>
    <r>
      <rPr>
        <sz val="11"/>
        <color theme="1"/>
        <rFont val="Calibri"/>
        <family val="2"/>
        <scheme val="minor"/>
      </rPr>
      <t xml:space="preserve"> ISO 19011:2018, ANAO Performance Audit Methodology, OSINT Best Practice</t>
    </r>
  </si>
  <si>
    <r>
      <t>Complete Documentation:</t>
    </r>
    <r>
      <rPr>
        <sz val="11"/>
        <color theme="1"/>
        <rFont val="Calibri"/>
        <family val="2"/>
        <scheme val="minor"/>
      </rPr>
      <t xml:space="preserve"> https://github.com/paulrekaris/TGA-COVID19-Vaccine-Safety-Monitoring-Audit</t>
    </r>
  </si>
  <si>
    <t>Enhanced AEFI data collection and management capabilities </t>
  </si>
  <si>
    <t>Enhanced AEFI report escalation processes</t>
  </si>
  <si>
    <t>Understanding COVID-19 vaccine safety profiles </t>
  </si>
  <si>
    <t>Enhanced capacity and capability for investigating individual COVID-19 AEFI reports</t>
  </si>
  <si>
    <t>Enhanced cumulative data reviews for each COVID-19 vaccine </t>
  </si>
  <si>
    <t>Regulatory and programmatic action </t>
  </si>
  <si>
    <t>Communications and media </t>
  </si>
  <si>
    <t>National vaccine safety stakeholder collaborations </t>
  </si>
  <si>
    <t>Plan output</t>
  </si>
  <si>
    <t>Assessment objective</t>
  </si>
  <si>
    <t>Establish systematic oversight mechanisms to track implementation of all 17 Plan outputs across Strategies 1-5</t>
  </si>
  <si>
    <t>Develop performance measurement framework with KPIs to evaluate delivery of Plan outputs and overall program effectiveness</t>
  </si>
  <si>
    <t>Encourage consumers and health professionals to report COVID-19 vaccine AEFI in an appropriate and timely manner</t>
  </si>
  <si>
    <t>Ensure AEFI reporting forms are fit for COVID-19 vaccine purposes ​</t>
  </si>
  <si>
    <t>Ensure the TGA's data processing capabilities meet COVID-19 vaccine AEFI data requirements</t>
  </si>
  <si>
    <t>Understand baseline safety profiles, background adverse event rates and AESI for each COVID-19 vaccine</t>
  </si>
  <si>
    <t>Ensure TGA has capacity to undertake appropriate investigation of COVID-19 AEFI reports</t>
  </si>
  <si>
    <r>
      <t>Enable rapid analysis of AEFI rates to detect emerging COVID-19 safety signals</t>
    </r>
    <r>
      <rPr>
        <sz val="14"/>
        <color theme="1"/>
        <rFont val="Helvetica Neue"/>
        <family val="2"/>
      </rPr>
      <t> ​</t>
    </r>
  </si>
  <si>
    <t>Establish real-time collaboration with COVID-19 active surveillance activities </t>
  </si>
  <si>
    <t>Strengthen processes for receiving new safety information from clinical studies and Safety Summary Reports</t>
  </si>
  <si>
    <t>Strengthen environmental scanning activities for detecting COVID-19 vaccine safety issues </t>
  </si>
  <si>
    <t>Improve mechanisms for sharing COVID-19 safety signals between international regulators </t>
  </si>
  <si>
    <t>Strengthen expert advisory committee capabilities for COVID-19 vaccine safety issues</t>
  </si>
  <si>
    <t>Use legislative provisions to achieve timely regulatory action in response to safety concerns</t>
  </si>
  <si>
    <t xml:space="preserve">Consolidate timely information sharing and collaboration with national stakeholders </t>
  </si>
  <si>
    <r>
      <t>Timely international information sharing on COVID-19 vaccine safety activities</t>
    </r>
    <r>
      <rPr>
        <sz val="14"/>
        <color theme="1"/>
        <rFont val="Helvetica Neue"/>
        <family val="2"/>
      </rPr>
      <t> ​</t>
    </r>
  </si>
  <si>
    <t>Establish systematic oversight mechanisms to track implementation of all 17 Plan outputs</t>
  </si>
  <si>
    <t>Develop performance measurement framework with KPIs to evaluate Plan delivery</t>
  </si>
  <si>
    <t xml:space="preserve">Timely communication messages provided to consumers and health professionals regarding safety monitoring </t>
  </si>
  <si>
    <t>FOI 3643, Senate Hansard Oct 2025, TGA regulatory actions list, 150+ safety reports</t>
  </si>
  <si>
    <t>57 regulatory actions taken (warnings, label changes); weekly reports document safety responses</t>
  </si>
  <si>
    <t>Surveillance Analysis (148 signals; 57 regulatory actions); Senate testimony ("day-to-day processes"); FOI 3643 and OAIC searches (no rapid response protocols)</t>
  </si>
  <si>
    <t xml:space="preserve">Ensure criteria for COVID-19 vaccine report escalation and clinical review are appropriate </t>
  </si>
  <si>
    <t>Ensure COVID-19 AEFI reports are able to be shared between the TGA and state/territory jurisdictions</t>
  </si>
  <si>
    <t>Communications</t>
  </si>
  <si>
    <t>Enhanced AEFI Reporting</t>
  </si>
  <si>
    <t>National Collaborations</t>
  </si>
  <si>
    <t>These definitions establish clear, consistent criteria for assessing each of the 19 Plan outputs across three rating categories.</t>
  </si>
  <si>
    <t>Enhanced capacity and capability for investigating individual COVID-19 AEFI reports </t>
  </si>
  <si>
    <t xml:space="preserve">Communications and media </t>
  </si>
  <si>
    <t>5.2</t>
  </si>
  <si>
    <t>57 regulatory actions taken (warnings, label changes); weekly reports document safety responses.</t>
  </si>
  <si>
    <t xml:space="preserve">FOI 3643, Senate Hansard Oct 2025, TGA regulatory actions list, 150+ safety reports
</t>
  </si>
  <si>
    <t xml:space="preserve">None – extensive public communication documented.
</t>
  </si>
  <si>
    <t>No documented framework or protocol for systematic integration of data sources; no documented methodology for reconciling DAEN vs AusVaxSafety; Phillips et al (2021) identified “parallel systems” gap; FOI 3643 and OAIC searches reveal no rapid response protocols or methodologies</t>
  </si>
  <si>
    <t>FOI 4029-03 (ACV received Strategy 2.3 Sep 2021); ACV Meeting Statements (published); OAIC MR22/00538 ('unable to meaningfully interpret' Objective 5 for advisory searches). FOI 4029-03 (ACV received Strategy 2.3 Sep 2021); FOI 4029-05 (VSIG operational, child deaths not referred); ACV Meeting Statements (published); Senate testimony (TGA "burn out" claim); OAIC MR22/00538 ('unable to meaningfully interpret' Objective 5 for advisory searches)</t>
  </si>
  <si>
    <t>Use legislative provisions available to achieve effective and timely regulatory action in response to any emerging COVID-19 vaccine safety concerns, as well as any non-regulatory action that may help to address or reduce the risk of a safety concern (Objective 3)</t>
  </si>
  <si>
    <t>Timely communication messages provided to consumers and health professionals regarding safety monitoring (Objective 4)</t>
  </si>
  <si>
    <t>Consolidate timely information sharing, communication and collaboration with national stakeholders on COVID-19 vaccine safety activities and issues (Objective 5)</t>
  </si>
  <si>
    <t>Plan Commitment/strategy</t>
  </si>
  <si>
    <t>Output  ref #</t>
  </si>
  <si>
    <t>International Collaborations</t>
  </si>
  <si>
    <t>⭐</t>
  </si>
  <si>
    <t>TGA COVID-19 Vaccine Safety Monitoring Plan</t>
  </si>
  <si>
    <t>Output Assessment Evidence Matrix</t>
  </si>
  <si>
    <t>Variables</t>
  </si>
  <si>
    <t>Variable</t>
  </si>
  <si>
    <t>Plan output identifier (1.1–GOV.2)</t>
  </si>
  <si>
    <t>Fully Implemented / Partially Implemented / Not Documented</t>
  </si>
  <si>
    <t>Primary sources supporting classification</t>
  </si>
  <si>
    <t>Brief narrative finding for the output</t>
  </si>
  <si>
    <t>Identified gaps in the documentary record</t>
  </si>
  <si>
    <t>FOI, OAIC, Senate, and other primary references</t>
  </si>
  <si>
    <t>Methodology and Documentation</t>
  </si>
  <si>
    <t>Repository README</t>
  </si>
  <si>
    <t>github.com/paulrekaris/TGA-COVID19-Vaccine-Safety-Monitoring-Audit#readme</t>
  </si>
  <si>
    <t>Audit framework</t>
  </si>
  <si>
    <t>github.com/paulrekaris/TGA-COVID19-Vaccine-Safety-Monitoring-Audit/blob/main/audit-governance/regulatory-accountability-audit-framework.md</t>
  </si>
  <si>
    <t>ISO 19011 Conformity Assessment</t>
  </si>
  <si>
    <t>github.com/paulrekaris/TGA-COVID19-Vaccine-Safety-Monitoring-Audit/blob/main/analysis/ISO-19011-conformity-assessment-checklist.md</t>
  </si>
  <si>
    <t>Codebook</t>
  </si>
  <si>
    <t>github.com/paulrekaris/TGA-COVID19-Vaccine-Safety-Monitoring-Audit/blob/main/analysis/dataset-codebook.md</t>
  </si>
  <si>
    <t>Replication code (Python/R/Stata)</t>
  </si>
  <si>
    <t>github.com/paulrekaris/TGA-COVID19-Vaccine-Safety-Monitoring-Audit/blob/main/analysis/replication-readme.md</t>
  </si>
  <si>
    <t>Publications and Archive</t>
  </si>
  <si>
    <t>Dataset paper</t>
  </si>
  <si>
    <t>doi.org/10.5281/zenodo.20175557 (Zenodo)   ·   doi.org/10.2139/ssrn.6610438 (SSRN)</t>
  </si>
  <si>
    <t>Audit report</t>
  </si>
  <si>
    <t>doi.org/10.5281/zenodo.17731054 (Zenodo)   ·   doi.org/10.2139/ssrn.6333058 (SSRN)</t>
  </si>
  <si>
    <t>Dataset archive</t>
  </si>
  <si>
    <t>doi.org/10.7910/DVN/BDKZQJ (Harvard Dataverse)   ·   doi.org/10.17632/y5wmt6f8j9 (Mendeley Data)</t>
  </si>
  <si>
    <t>Parliamentary record</t>
  </si>
  <si>
    <t>Cited by name in the Australian Senate, 24 March 2026</t>
  </si>
  <si>
    <t>Hansard</t>
  </si>
  <si>
    <t>Licence and Citation</t>
  </si>
  <si>
    <t>Licence</t>
  </si>
  <si>
    <t>CC BY 4.0 — creativecommons.org/licenses/by/4.0</t>
  </si>
  <si>
    <t>Citation</t>
  </si>
  <si>
    <t>Contact</t>
  </si>
  <si>
    <t>rekasp@protonmail.com</t>
  </si>
  <si>
    <t>Reproducibility and Falsifiability</t>
  </si>
  <si>
    <t>All classifications are reproducible directly from the codebook and replication code. Any classification can be challenged by production of contradicting documentary evidence.</t>
  </si>
  <si>
    <t>Limitations and Falsifiability</t>
  </si>
  <si>
    <t>github.com/paulrekaris/TGA-COVID19-Vaccine-Safety-Monitoring-Audit#limitations-and-falsifiability</t>
  </si>
  <si>
    <t>Repository: https://github.com/paulrekaris/TGA-COVID19-Vaccine-Safety-Monitoring-Audit</t>
  </si>
  <si>
    <t>aph.gov.au — Senate Hansard, 24 March 2026</t>
  </si>
  <si>
    <t>Programme assessment item: Governance and performance measurement (ISO 19011:2018 cl 5.5.2 and cl 5.2)</t>
  </si>
  <si>
    <t>Consolidate timely information sharing, communication and collaboration with international stakeholders on COVID-19 vaccine safety activities and issues. (Objective 5)</t>
  </si>
  <si>
    <t>Official statements by TGA senior officials made to Senate committees constitute authoritative evidence of implementation status</t>
  </si>
  <si>
    <t>Highest - official testimony provided in parliamentary proceedings</t>
  </si>
  <si>
    <t>Summary Finding</t>
  </si>
  <si>
    <t>Governance (ISO 19011:2018 cl 5.5.2 and cl 5.2)</t>
  </si>
  <si>
    <t>ISO 19011:2018 Section 6.4.9 establishes that "audit conclusions are based on the audit evidence made available to the auditor" within the defined audit scope. Auditors draw conclusions from accessible evidence, not from hypothetical evidence that might exist but cannot be verified within audit boundaries.</t>
  </si>
  <si>
    <t xml:space="preserve">Signal Detection &amp; Investigation </t>
  </si>
  <si>
    <t xml:space="preserve">Regulatory Actions </t>
  </si>
  <si>
    <t>Output 1.4: Data processing occurred (140K+ reports) but no evidence this was "enhanced" preparation vs routine DAEN capabilities. Activity documented but enhancement not evidenced.</t>
  </si>
  <si>
    <t>Severity Scoring Within "Partially Implemented" (Ratings 3–4)</t>
  </si>
  <si>
    <t>Grading nonconformities on a quantitative scale (here, 1–5) based on organisational context and risk is expressly contemplated by ISO 19011:2018, clause 6.4.8: "Nonconformities can be graded depending on the context of the organization and its risks. This grading can be quantitative (e.g. 1 to 5) and qualitative (e.g. minor, major)."</t>
  </si>
  <si>
    <t>The decision tree above establishes the three-category rating. Within "Partially Implemented," a numeric severity of 3 (Moderate) or 4 (High) is assigned using the same rating scale and definitions set out in the dataset codebook (Section 4):</t>
  </si>
  <si>
    <t>Label</t>
  </si>
  <si>
    <t>Codebook Definition</t>
  </si>
  <si>
    <t>High</t>
  </si>
  <si>
    <t>Significant gap materially affecting a core monitoring objective.</t>
  </si>
  <si>
    <t>Moderate</t>
  </si>
  <si>
    <t>Partial gap with potential impact on a monitoring objective or pharmacovigilance output.</t>
  </si>
  <si>
    <t>This distinction is applied consistently across the Evidence Matrix and Output Assessment sheets, and is falsifiable in the same way as the primary ratings (see Falsifiability Principle below): if TGA produces documentation closing a specific gap, the severity score is revised accordingly.</t>
  </si>
  <si>
    <t>Communication Outputs (1.1, 3.1)</t>
  </si>
  <si>
    <t>Deliverable Outputs (1.2 Forms)</t>
  </si>
  <si>
    <t>Process/Protocol Outputs (2.2, 2.3, 2.5, 2.6)</t>
  </si>
  <si>
    <t>Integration/Coordination Outputs (2.4, 4.1, 5.1. 5.2)</t>
  </si>
  <si>
    <t>Governance Outputs (GOV.1, GOV.2)
(ISO 19011:2018 cl 5.5.2 and cl 5.2)</t>
  </si>
  <si>
    <t>Fully → Partially: If significant documentation gaps subsequently identified</t>
  </si>
  <si>
    <t>Partially → Fully: If TGA produces comprehensive framework documentation</t>
  </si>
  <si>
    <t>Not Documented → Partially/Fully: If TGA produces previously undisclosed documentation through FOI, OAIC direction, or public release</t>
  </si>
  <si>
    <t>Why Fully: Output 1.1 is about public communication and reporting pathways (not internal processes). Website content exists, advertising documented, weekly reports published. This is COMMUNICATION OUTPUT fully delivered.</t>
  </si>
  <si>
    <t>Rating: ✓ FULLY IMPLEMENTED</t>
  </si>
  <si>
    <t>Rating: ◐ PARTIALLY IMPLEMENTED</t>
  </si>
  <si>
    <t>Rating: ✗ NOT DOCUMENTED</t>
  </si>
  <si>
    <t>Methodology: ISO 19011:2018 (evidence-based approach), ANAO Performance Audit Standards, Commonwealth accountability frameworks (PGPA Act s37-39, Archives Act 1983)</t>
  </si>
  <si>
    <t>Complete Audit Documentation: https://github.com/paulrekaris/TGA-COVID19-Vaccine-Safety-Monitoring-Audit</t>
  </si>
  <si>
    <t>Rekaris, P. (2026). TGA COVID-19 Vaccine Safety Monitoring Plan — Output Assessment Evidence Matrix (v1.9.4). Harvard Dataverse. doi.org/10.7910/DVN/BDKZQJ</t>
  </si>
  <si>
    <t>Per ISO 19011:2018 Clause 6.4.9, audit conclusions are based on evidence made available to auditor within defined scope, not hypothetical evidence that might exist elsewhere</t>
  </si>
  <si>
    <t>Under Commonwealth accountability frameworks (PGPA Act 2013 s37, Archives Act 1983, FOI Act 1982), the burden rests with Commonwealth entities to demonstrate performance through documentation, not with oversight bodies or citizens to prove documentation doesn't exist.</t>
  </si>
  <si>
    <t>Senate Community Affairs Legislation Committee, Supplementary Budget Estimates 2025–26, Committee Hansard, 9 October 2025</t>
  </si>
  <si>
    <t>FOI 3643, FOI 25-0166, FOI-3110 OAIC MR22/00538 searches, AusVaxSafety public reports, TGA weekly reports</t>
  </si>
  <si>
    <t>FOI 3643, FOI 25-0166, FOI 26-3110 (AusVaxSafety Annual Report 2022), OAIC MR22/00538 searches, FOI 5082, AusVaxSafety public reports, TGA weekly reports</t>
  </si>
  <si>
    <t>FOI 5082 (Document 5), FOI 3643, FOI 25-0166, OAIC MR22/00538 searches</t>
  </si>
  <si>
    <t>FOI 5082, PDF pp.87-88, 211; Department submission to the OAIC, 20 September 2024, Attachment C (search checklist)</t>
  </si>
  <si>
    <t>FOI 5082, PDF pp.87-88, 211; Department submission to the OAIC, 20 September 2024, Attachment B (Table 3) and Attachment C</t>
  </si>
  <si>
    <t>FOI 3643, FOI 25-0166, FOI 5082, OAIC MR22/00538 searches</t>
  </si>
  <si>
    <t>FOI 5082, PDF pp.87, 108, 199; OAIC Decision [2025] AICmr 54 (documents relating to implementation of the Plan could not be found or do not exist; not specific to this output); OAIC MR22/00538 submission, 20 September 2024, Attachments B and C</t>
  </si>
  <si>
    <t>Cannot verify completeness of the Department’s searches beyond what it reported to the OAIC</t>
  </si>
  <si>
    <t>Reliant on the Department’s reports of sample searches; not independently verified</t>
  </si>
  <si>
    <t>No documentation found in the Department’s reported sample searches or FOI releases; no evidence of the output’s process or protocol identified</t>
  </si>
  <si>
    <t>(1) The Department’s reported sample searches found no relevant documentation, AND (2) FOI processes produced no evidence, AND (3) No references in public reports/testimony</t>
  </si>
  <si>
    <t>Output 1.1 (communication) = deliverable (reports exist) = Fully. Output 2.5 (processes for receiving clinical study reports) = process (no process documented) = Not Documented</t>
  </si>
  <si>
    <t>No protocols/frameworks found in FOI releases or the Department’s reported searches</t>
  </si>
  <si>
    <t>No governance documentation against the Plan</t>
  </si>
  <si>
    <t>Department sample searches reported to the OAIC (MR22/00538; TRIM and Promap)</t>
  </si>
  <si>
    <t>Department sample searches: no governance documentation in scope</t>
  </si>
  <si>
    <t>Distinguishes between operational delivery (which clearly happened: 140K reports, 6.8M surveys, 150 signals) and systematic implementation of Plan's enhanced framework (which cannot be verified through documentation)</t>
  </si>
  <si>
    <t>Last Updated: 13 October 2026</t>
  </si>
  <si>
    <t>Output 2.2 (investigation protocols); Output 2.3 (cumulative review and sequential analysis methods); Output 2.4 (named commitment to “collaborate with AusVaxSafety”); Output 2.1 (commitment to establish expected/background rates); Output 3.1 (regulatory-action integration).</t>
  </si>
  <si>
    <t>Outputs 1.3–1.5 (data-sharing and escalation processes); Output 2.6 (environmental scanning); Outputs 2.7–2.8 (engagement documentation); Outputs 5.1–5.2 (collaboration frameworks).</t>
  </si>
  <si>
    <t>FOI 3643, FOI 25-0166, Department sample searches reported to the OAIC (MR22/00538), Senate testimony Oct 2025</t>
  </si>
  <si>
    <t>Senate Hansard 9 Oct 2025; FOI 3643 Kay email 23 Feb 2022 ('no implementation report... entering phase of reviewing'); Surveillance Analysis (zero Plan references across 150+ reports); Department sample searches identified no plan tracking</t>
  </si>
  <si>
    <t>No oversight committees documented; no progress reports identified; no performance metrics against the Plan’s outputs identified; no Plan-level governance identified</t>
  </si>
  <si>
    <t>No performance metrics against the Plan’s outputs identified; no tracking of the Plan’s 19 outputs identified; no KPIs identified; no Plan framework references identified in the 150+ weekly reports reviewed; no assessment at programme cessation (Nov 2023) identified</t>
  </si>
  <si>
    <t>Substantial activity occurred demonstrating operational delivery, but systematic protocols, integration frameworks, or governance documentation not evidenced. ◐ records that baseline process documentation exists; it does not show enhancement beyond routine pharmacovigilance.</t>
  </si>
  <si>
    <t>FOI 5082 (Documents 5 and 14), FOI 3643, FOI 25-0166, Department sample searches reported to the OAIC (MR22/00538)</t>
  </si>
  <si>
    <t>FOI 5082, PDF pp.84 and 211-213; Department submission, 20 Sept 2024, Attachment A Table 1; OAIC Decision AICmr 54; Senate Hansard 9 Oct 2025</t>
  </si>
  <si>
    <t>FOI 5082 (Documents 2, 3, 5, 11, 12), FOI 4029-03, FOI 5275, Department sample searches reported to the OAIC (MR22/00538)</t>
  </si>
  <si>
    <t>FOI 5082, PDF pp.35-37, 41, 42, 84-87, 139, 188-196, 204-205; Department submission, 20 Sept 2024, Attachment A Table 1, item 2 (p.8); FOI 4029-03; FOI 5275</t>
  </si>
  <si>
    <t>FOI 5082 (Documents 2, 3, 5, 11 and 12), FOI 4029-03, FOI 5275, Department sample searches reported to the OAIC (MR22/00538)</t>
  </si>
  <si>
    <t>FOI 5082, PDF pp.35-37, 41, 42, 84-87, 139, 188-196, 204-205; FOI 4029-03; FOI 5275, Department submission, 20 Sept 2024, Attachment A Table 1, item 2 (p.8)</t>
  </si>
  <si>
    <t>Output 1.1: Enhanced AEFI reporting information published on TGA website + 150+ safety reports published. Output 1.2: Updated AEFI forms with COVID-19 fields publicly available. Output 4.1: 150+ public safety reports + media releases demonstrating systematic public communication.</t>
  </si>
  <si>
    <t>Output 2.4: AusVaxSafety operated effectively (6.8M surveys) but no TGA coordination protocols documented. Output 1.4: 140K+ DAEN reports processed but no documentation of “enhanced” database preparation beyond routine capabilities. Output 2.1: AESI list in use and background rate sources identified, but no documented expected rates or results.</t>
  </si>
  <si>
    <t>FOI 5082, FOI 4029-03, FOI 3643, FOI 25-0166, Department sample searches reported to the OAIC (MR22/00538)</t>
  </si>
  <si>
    <t>FOI 5082, PDF pp.36, 86 and 190-191; FOI 4029-03 (ACV presentation, Sep 2021); Surveillance Analysis (expected rates used without methodology)</t>
  </si>
  <si>
    <t>FOI 5082, FOI 3643, FOI 4029-03, Department sample searches reported to the OAIC (MR22/00538)</t>
  </si>
  <si>
    <t>No documented bridge between 6.8M surveys and 150 TGA signals</t>
  </si>
  <si>
    <r>
      <t>Last Updated:</t>
    </r>
    <r>
      <rPr>
        <sz val="11"/>
        <color theme="1"/>
        <rFont val="Calibri"/>
        <family val="2"/>
        <scheme val="minor"/>
      </rPr>
      <t xml:space="preserve"> 1</t>
    </r>
    <r>
      <rPr>
        <sz val="11"/>
        <color theme="1"/>
        <rFont val="Calibri (Body)"/>
      </rPr>
      <t>3 October 2026</t>
    </r>
  </si>
  <si>
    <t>Sample searches (TRIM and Promap) reported to the OAIC under statutory direction (September 2024); 2,218+ pages estimated as relevant to Plan objectives</t>
  </si>
  <si>
    <t>Moderate - Department-reported, not independently verified</t>
  </si>
  <si>
    <t>Samples only; email, devices and hardcopy not searched; most terms did not target individual outputs; two tables differ; submission argues burden</t>
  </si>
  <si>
    <t>High - independent third-party review of related matters. AICmr 54 supports only that implementation documents could not be found or do not exist.</t>
  </si>
  <si>
    <t>TGA’s reported searches were made in good faith</t>
  </si>
  <si>
    <t>September 2024 sample searches under OAIC statutory direction (TRIM and Promap) identified no documents evidencing implementation of the Plan: TGA’s own account, not independently verified.</t>
  </si>
  <si>
    <t>3. TGA-Reported Searches</t>
  </si>
  <si>
    <t xml:space="preserve">Ratings Basis </t>
  </si>
  <si>
    <t>Version v1.9.6   ·  October 2026   ·   Paul Rekaris   ·   ORCID: orcid.org/0009-0000-1338-9578</t>
  </si>
  <si>
    <t>Ratings describe the audit evidence available under ISO 19011:2018 (clause 3.9). ✓ means verifiable records of delivery; ◐ means process documentation with limited or no records of results; ✗ means no relevant evidence was located. No rating establishes that an output was or was not performed.</t>
  </si>
  <si>
    <t>Activity evidence exists but protocols/frameworks only partly documented</t>
  </si>
  <si>
    <t>TGA’s reported search results are an accurate account of what implementation documentation exists</t>
  </si>
  <si>
    <t>List of AESI (Adverse Events of Special Interest) was used; TGA weekly reports reference monitoring specific conditions. FOI 5082 identifies background rate sources: vac4eu.org in the 19 July 2021 analysis plan (p.36), an NCIRS background rate report in the working draft framework (p.86), and a repository of background rates for COVID-19 AESIs in the observed-versus-expected work instruction (pp.190-191)</t>
  </si>
  <si>
    <t>Background rate sources are named, but no expected or background rates calculated or applied to Australian COVID-19 data are documented, and the selection and use of rates for each AESI are not documented. FOI 4029-03 shows PRR/MaxSPRT capacity (Sep 2021) but public reports lack statistical methodology outputs</t>
  </si>
  <si>
    <t>FOI 5082 shows a COVID-specific escalation process in a working draft framework (D20-3725525, PDF p.84): all COVID cases go initially to the SIU, with a COVID-19 AESI list and case definitions. A Vaccine STRS work instruction for assessing individual AEFI reports against VSIG criteria (Document 14, version 2.0, PDF pp.211-213) sets a separate COVID-19 pathway: serious and fatal reports go from AEMDS to the Principal Medical Advisors before any referral to Vaccine STRS. The OAIC-directed searches located no further COVID-specific investigation protocols. The TGA described monitoring as ‘day-to-day processes’ (Senate, 9 Oct 2025)</t>
  </si>
  <si>
    <t>The framework is a working draft, and the escalation process document it cites was not released. Document 14 is undated in the pages reviewed and cites a 2023 TRIM reference, so it may post-date the roll-out. No COVID-specific methodology for how signals were investigated. No evidence of how capacity was assessed or resourced, although Document 14 acknowledges limited staff and rising report volumes</t>
  </si>
  <si>
    <t>FOI 5082 documents COVID-specific cumulative review methods: a 19 July 2021 sequential analysis plan using MaxSPRT with AIR dose data by age, sex, dose and brand (pp.35-37); weekly PRR and near real-time AEMS and AIR updates advised to the ACV (p.41); a 24 August 2021 internal presentation citing Strategy 2.3 and its four outputs (p.42); a weekly cumulative review of AEFI counts and rates (p.85); an observed-versus-expected work instruction dated 17 September 2022 (pp.188-196); and calculator instructions that draw dose data by age from the COVID-19 Vaccine Surveillance Platform (pp.204-205). FOI 4029-03 shows methods (PRR, MaxSPRT, AIR denominators) presented to the ACV in September 2021, with no public outputs. FOI 5275: the TGA does not hold one requested cancer incidence data set, which output 2.3 does not name, so this shows a data gap, not whether the calculation was performed</t>
  </si>
  <si>
    <t>No MaxSPRT or routine cumulative review outputs released. No documented signal-to-action trail (CIOMS-style). Distribution data (output 1) is covered only by general guidance (p.139). Some elements are described as development goals (pp.86-87) in a working draft framework (p.84). The observed-versus-expected work instruction is v1.0, issued 17 September 2022, and the 2021 analysis plan is a plan, not a record of use. The two worked O/E analyses cited at p.196 (GBS with the AstraZeneca vaccine; myocarditis and pericarditis) and the process documents cited at p.85 were not released. The documents do not distinguish enhanced review from routine pharmacovigilance</t>
  </si>
  <si>
    <t>AusVaxSafety infrastructure operated effectively: 6,887,520 COVID-19 vaccine safety surveys completed; 62,000+ medical-attention reports documented; data appears in TGA weekly reports. FOI 26-3110 additionally documents fortnightly COVID-19 vaccine signal detection, sharing of analysis reports with Health and TGA, and specific signals notified to and discussed with the TGA Pharmacovigilance Branch</t>
  </si>
  <si>
    <t>No documented coordination protocols between TGA and AusVaxSafety; no integration methodology found; OAIC searches did not use “AusVaxSafety” as a search term despite the Output 2.4 commitment; no documented pathway demonstrating how AusVaxSafety surveillance findings informed TGA signal detection, prioritisation or investigation</t>
  </si>
  <si>
    <t>FOI 26-3110 (AusVaxSafety Annual Report 2022); FOI 4029-03 (ACV received Strategy 2.3 methodology, Sep 2021); FOI 4029-05 (VSIG operational; child deaths not referred); ACV Meeting Statements; Senate testimony; OAIC MR22/00538 (“unable to meaningfully interpret” Objective 5 for advisory searches)</t>
  </si>
  <si>
    <t>No documented processes for receiving or reviewing clinical studies/reports from sponsors; no evidence of enhanced review protocols for COVID vaccine sponsor submissions; the only COVID-specific references are placeholders marked “tbc”</t>
  </si>
  <si>
    <t>FOI 5082 (PDF p.87) lists “Clinical study reports” and “PSUR” as “tbc”. No COVID-specific process for receiving or reviewing sponsor-submitted clinical study reports or Safety Summary Reports was located. None of the eight OAIC-directed search terms targeted these documents</t>
  </si>
  <si>
    <t>FOI 5082 (PDF pp.87-88, working draft COVID-19 signal detection framework) lists environmental scanning sources matching the Plan’s list: regulator alerts (MHRA, FDA, EMA), overseas AEFI reports, WHO VigiBase, sponsor significant safety issue notifications, ICMRA signals, the IRRS library (Medline, EMBASE), and media and social-media scanning. It cites an SIU environmental scanning work instruction (D19-5209870) and flow chart (D18-10434494). None of the eight OAIC-directed search terms targeted environmental scanning</t>
  </si>
  <si>
    <t>The sources are listed as “routine scanning” in a working draft; the cited work instruction predates COVID-19 and was not released. No evidence of what was strengthened, of scanning outputs, or of how scanned information led to signal action</t>
  </si>
  <si>
    <t>Senate testimony (9 Oct 2025); Department sample searches reported to the OAIC (MR22/00538)</t>
  </si>
  <si>
    <t>FOI 5082, PDF pp.84 and 211-213; Department submission, 20 Sept 2024, Attachment A Table 1, item 2 (p.8)</t>
  </si>
  <si>
    <t>FOI 3643, FOI 25-0166, OAIC MR22/00538 searches, Senate Community Affairs Legislation Committee, Supplementary Budget Estimates 2025–26, Committee Hansard, 9 October 2025</t>
  </si>
  <si>
    <t>The September 2024 Table 3 searches under OAIC statutory direction, including a term returning 531+ TRIM containers, found zero documents in scope — TGA’s own assessment of what implementation documentation exists</t>
  </si>
  <si>
    <t>Output 1.1 is about public communication and reporting pathways (not internal processes). Website content exists, advertising documented, weekly reports published. This is COMMUNICATION OUTPUT fully delivered</t>
  </si>
  <si>
    <t>Forms were updated with COVID-19 fields and made publicly available. This is DELIVERABLE OUTPUT (forms exist). Internal processes for how forms processed is separate question (Output 1.4/1.5)</t>
  </si>
  <si>
    <t>Activity clearly occurred (state data appears in reports) but SYSTEMATIC PROTOCOLS for sharing not documented. Plan committed to 'criteria and processes' - these not evidenced. Rating: Partial because sharing happened but formal framework not documented</t>
  </si>
  <si>
    <t>Massive data processing activity documented (140K+ reports) but no evidence this involved 'enhanced' preparation beyond routine DAEN capabilities. Plan promised enhanced data CAPABILITIES (not just processing volume). Systems may have been enhanced but not documented as such</t>
  </si>
  <si>
    <t>Clinical reviews happened (evidenced by 148 signal investigations) but DOCUMENTED COVID-SPECIFIC escalation criteria not found. Plan committed to enhanced escalation protocols - these protocols not evidenced. Activity occurred but systematic framework not documented</t>
  </si>
  <si>
    <t>AESI list existed and background rate sources are named (FOI 5082), but the Plan committed to understanding safety profiles including expected and background rates. No calculated rates or results were located. FOI 4029-03 shows capacity, but outputs were not published</t>
  </si>
  <si>
    <t>FOI 5082 shows a COVID-specific escalation process in a working draft framework (D20-3725525, PDF p.84): all COVID cases go initially to the SIU, with a COVID-19 AESI list and case definitions. A Vaccine STRS work instruction for assessing individual AEFI reports against VSIG criteria (Document 14, version 2.0, PDF pp.211-213) sets a separate COVID-19 pathway: serious and fatal reports go from AEMDS to the Principal Medical Advisors before any referral to Vaccine STRS. The Department’s sample searches reported to the OAIC identified no further COVID-specific investigation protocols. The TGA described monitoring as ‘day-to-day processes’ (Senate, 9 Oct 2025)</t>
  </si>
  <si>
    <t>The framework is a working draft, and the escalation process document it cites was not released. Document 14 is undated in the pages reviewed and cites a 2023 TRIM reference, so it may post-date the roll-out. No COVID-specific methodology for how the signals were investigated. No evidence of how capacity was assessed or resourced, although Document 14 acknowledges limited staff and rising report volumes</t>
  </si>
  <si>
    <t>Plan committed to “specific protocols for investigating COVID-19 AEFI reports” (p.8). FOI 5082 shows COVID-specific elements: a working draft escalation framework (p.84) and a work instruction with a separate COVID-19 referral pathway (pp.211-213), so the ✗ criterion that FOI produced no evidence is not met. Neither is a finished, dated, COVID-specific protocol from the roll-out period, and the Department’s sample searches identified none. Rated ◐ because the protocols governing the investigation activity are only partly documented</t>
  </si>
  <si>
    <t>No cumulative review outputs, results or reports released. No documented signal-to-action trail (CIOMS-style). Distribution data (output 1) is covered only by general guidance (p.139). Some elements are described as development goals (pp.86-87) in a working draft framework (p.84). The observed-versus-expected work instruction is v1.0, issued 17 September 2022, and the 2021 analysis plan is a plan, not a record of use. The two worked O/E analyses cited at p.196 (GBS with the AstraZeneca vaccine; myocarditis and pericarditis) and the process documents cited at p.85 were not released. The documents do not distinguish enhanced review from routine pharmacovigilance</t>
  </si>
  <si>
    <t>FOI 5082 documents COVID-specific cumulative review methods (analysis plan, 19 July 2021; Strategy 2.3 cited at p.42; observed-versus-expected work instruction, 17 September 2022), so the ✗ criterion that FOI produced no evidence is not met. Rated ◐ because no outputs, results or signal-to-action trail are evidenced and the documents do not distinguish enhanced review from routine pharmacovigilance. FOI 5275 shows a gap in one requested data set only</t>
  </si>
  <si>
    <t>AusVaxSafety infrastructure operated effectively, but no documented integration methodology or systematic coordination mechanism was identified showing how AusVaxSafety active-surveillance information was used to coordinate TGA safety signal detection and investigation. TGA’s September 2024 OAIC-directed searches did not use “AusVaxSafety” as a search term despite the Output 2.4 commitment</t>
  </si>
  <si>
    <r>
      <t>FOI 26-3110 (AusVaxSafety Annual Report 2022)</t>
    </r>
    <r>
      <rPr>
        <sz val="12"/>
        <color theme="1"/>
        <rFont val="Calibri"/>
        <family val="2"/>
        <scheme val="minor"/>
      </rPr>
      <t xml:space="preserve"> documents fortnightly COVID-19 vaccine signal detection, sharing of analysis reports with Health and TGA, and signals notified to and discussed with the TGA Pharmacovigilance Branch. FOI 4029-03 (ACV received Strategy 2.3 methodology, Sep 2021); FOI 4029-05 (VSIG operational; child deaths not referred); ACV Meeting Statements; Senate testimony; OAIC MR22/00538 (“unable to meaningfully interpret” Objective 5 for advisory searches)</t>
    </r>
  </si>
  <si>
    <t>Massive active-surveillance activity (6.8M surveys) demonstrates AusVaxSafety delivery, with evidence of signal detection and notification/discussion of some signals with TGA. BUT Plan committed TGA to “collaborate with AusVaxSafety” to coordinate safety signal detection and investigation. No documented coordination protocols or systematic audit trail showing how AusVaxSafety surveillance findings informed TGA signal detection and investigation were identified</t>
  </si>
  <si>
    <t>AusVaxSafety 2023 Annual Report (6.8M surveys); TGA FOI 26-3110 (2022 Annual Report: signal detection and notification/discussion with TGA); Surveillance Analysis (no systematic integration documented); OAIC MR22/00538 (did not search “AusVaxSafety”); Phillips et al. 2021 (complementary/parallel surveillance systems)</t>
  </si>
  <si>
    <t>The Plan committed to strengthen processes for receiving new safety information from clinical studies and Safety Summary Reports. FOI 5082 records clinical study reports and PSURs as “tbc”, and no process was located. Rated ✗ because no process was documented; the “tbc” entries show the item was considered</t>
  </si>
  <si>
    <t>FOI 5082 (PDF pp.87-88, working draft COVID-19 signal detection framework) lists environmental scanning sources matching the Plan’s list: regulator alerts (MHRA, FDA, EMA), overseas AEFI reports, WHO VigiBase, sponsor significant safety issue notifications, ICMRA signals, the IRRS library (Medline, EMBASE), and media and social-media scanning. It cites an SIU environmental scanning work instruction (D19-5209870) and flow chart (D18-10434494). The OAIC-directed searches located no further documents</t>
  </si>
  <si>
    <t>The Plan committed to strengthen environmental scanning and confirm monitoring processes for the listed sources. FOI 5082 documents the sources and processes, so the ✗ criterion that FOI produced no evidence is not met. Rated ◐ because the documents do not distinguish enhanced scanning from routine, and no outputs are evidenced</t>
  </si>
  <si>
    <t>International engagement occurred (ICMRA co-chair documented) but SYSTEMATIC PROCESSES for information sharing not documented. Plan committed to processes - these not evidenced. Activity happened but framework not documented</t>
  </si>
  <si>
    <t>Expert committees existed and functioned (ACV meetings documented, FOI 4029-03 shows engagement, VSIG operational per FOI 4029-05). BUT Plan committed to COVID-specific advisory arrangements including paediatric expertise - these not documented as distinct from routine ACV processes. Critical gap: FOI 4029-05 shows VSIG operational when child deaths occurred but deaths not referred for expert review; contradicts TGA Senate testimony claiming "burn out" prevented expert review when mechanism was actually operational. Demonstrates available expert processes not systematically utilised</t>
  </si>
  <si>
    <t>Surveillance Analysis (148 signals; 57 regulatory actions);  Senate testimony (“day-to-day processes”); FOI 3643 and OAIC searches (no rapid response protocols)</t>
  </si>
  <si>
    <t>Evidence shows partial delivery: 57 regulatory actions (e.g., warnings, label changes) executed, documented in weekly safety reports and TGA lists, Senate Hansard (Oct 2025) confirming responses to 148 signals. However, key gaps prevent "Fully Implemented": No documented framework or protocol for systematic data integration across sources (DAEN vs AusVaxSafety reconciliation absent); Phillips et al (2021) highlights persistent “parallel systems”. Activity occurred but lacks systematic governance/documentation per ISO 19011 (not fully verifiable)</t>
  </si>
  <si>
    <t xml:space="preserve">150+ weekly/fortnightly safety reports published March 2021–November 2023; TGA media releases on regulatory actions; public website content; consumer information materials
</t>
  </si>
  <si>
    <t>Output 4.1 is about COMMUNICATION to public and health professionals. 150+ reports published, media engagement documented, website content exists. This is COMMUNICATION OUTPUT fully delivered (distinct from whether communications referenced Plan framework – that is a separate transparency question)</t>
  </si>
  <si>
    <t>Collaboration clearly happened (state data in reports, coordination evidenced). BUT Plan implied systematic national coordination frameworks - these FORMAL FRAMEWORKS not documented. Activity occurred through routine channels not distinct Plan-level governance</t>
  </si>
  <si>
    <t>International engagement occurred (ICMRA documented) but SYSTEMATIC PROCESSES for information sharing not documented beyond participation in working group. Collaboration happened but formal FRAMEWORKS not evidenced</t>
  </si>
  <si>
    <t>No oversight committees documented; no progress reports identified; no performance metrics tracking against Plan outputs; no evidence of Plan-level governance</t>
  </si>
  <si>
    <t>No performance metrics against the Plan’s outputs identified; no tracking of 19 outputs; no KPIs documented; 150+ weekly reports contain zero Plan framework references; no assessment at programme cessation (Nov 2023)</t>
  </si>
  <si>
    <t>Commonwealth PGPA Act s37 requires agencies explain performance. Plan specified 19 outputs requiring tracking. No performance measurement against the Plan’s outputs was identified across 33 months: no tracking, no metrics, no assessment. The programme ceased (Nov 2023) with no evaluation against the Plan identified</t>
  </si>
  <si>
    <t>Severity rating of the documentation position (1 = Minimal, 5 = Critical; higher means a more significant gap)</t>
  </si>
  <si>
    <t>Severity Rating (1 - 5)</t>
  </si>
  <si>
    <t>Output 2.5: No COVID-specific process for receiving clinical study reports or Safety Summary Reports (listed as ‘tbc’ in FOI 5082). Output GOV.1: No oversight committee documentation; Senate testimony indicates monitoring was not systematically tracked. Output GOV.2: No tracking against the Plan’s outputs.</t>
  </si>
  <si>
    <t>Senate testimony: TGA described monitoring as 'day-to-day processes'; no single evaluation report benchmarking TGA against the Plan</t>
  </si>
  <si>
    <t>Why Not Documented: Plan required governance/oversight mechanisms for 19 outputs. The Department’s sample searches identified no governance documentation in scope. Senate testimony: no single evaluation report against the Plan; monitoring described as 'day-to-day processes'.</t>
  </si>
  <si>
    <t>Senate Hansard 9 Oct 2025 ('day-to-day processes'); OAIC MR22/00538 (Department sample searches: no governance documentation in scope); FOI 3643 (Feb 2022: 'no implementation report exists')</t>
  </si>
  <si>
    <t>Senate Hansard 9 Oct 2025 ('day-to-day processes'); OAIC Decision AICmr 54; OAIC MR22/00538 (Department sample searches: no governance documentation in scope); FOI 3643 (Feb 2022: 'no implementation report exists')</t>
  </si>
  <si>
    <t>Plan required governance and oversight mechanisms for its 19 outputs. The Department’s sample searches (TRIM and Promap) identified no governance documentation in scope. Senate testimony (9 October 2025): monitoring described as 'day-to-day processes', indicating it was not systematically tracked against the Plan. FOI 5082 (p.90) refers to monitoring signal-investigation implementation through a PSAB Activities Register, but no tracking against the Plan’s outputs was identified</t>
  </si>
  <si>
    <t>Senate testimony indicates absence; FOI 3643 (Feb 2022) Kay email: 'no implementation report'; Surveillance Analysis: 150+ reports contain zero Plan references or output tracking</t>
  </si>
  <si>
    <t>Independent documentary audit of Australia's COVID-19 Vaccine Safety Monitoring Plan (February 2021). 68.4 million doses administered under provisional approval. Four-year FOI investigation found Cabinet-endorsed enhanced monitoring unverifiable as a distinct, tracked framework. The OAIC decision found the requested documents could not be found or do not exist. 16% of 19 Plan outputs fully documented. ISO 19011:2018 methodology. Falsifiable methodology.
19 rows, one per audited Plan output. Each row contains the documentation status classification, severity rating, evidence sources, summary findings, documentation gaps, and key references for one of the 19 assessed outputs of the TGA COVID-19 Vaccine Safety Monitoring Plan (February 2021).</t>
  </si>
  <si>
    <t>Last Updated: 16 October 2026</t>
  </si>
  <si>
    <t>Last Updated: 12 October 2026</t>
  </si>
  <si>
    <t>Official statements by TGA senior officials under parliamentary privilege (9 October 2025), statements regarding Plan implementation and tracking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</si>
</sst>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1"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b/>
      <sz val="12"/>
      <color theme="1"/>
      <name val="Calibri"/>
      <family val="2"/>
      <scheme val="minor"/>
    </font>
    <font>
      <b/>
      <sz val="12"/>
      <color rgb="FFFFFFFF"/>
      <name val="Calibri"/>
      <family val="2"/>
      <scheme val="minor"/>
    </font>
    <font>
      <b/>
      <sz val="12"/>
      <color rgb="FF006100"/>
      <name val="Calibri"/>
      <family val="2"/>
      <scheme val="minor"/>
    </font>
    <font>
      <b/>
      <sz val="12"/>
      <color rgb="FF9C5700"/>
      <name val="Calibri"/>
      <family val="2"/>
      <scheme val="minor"/>
    </font>
    <font>
      <b/>
      <sz val="12"/>
      <color rgb="FF9C0006"/>
      <name val="Calibri"/>
      <family val="2"/>
      <scheme val="minor"/>
    </font>
    <font>
      <b/>
      <sz val="14"/>
      <color rgb="FFFFFFFF"/>
      <name val="Calibri"/>
      <family val="2"/>
      <scheme val="minor"/>
    </font>
    <font>
      <sz val="14"/>
      <color theme="1"/>
      <name val="Calibri"/>
      <family val="2"/>
      <scheme val="minor"/>
    </font>
    <font>
      <u/>
      <sz val="12"/>
      <color theme="10"/>
      <name val="Calibri"/>
      <family val="2"/>
      <scheme val="minor"/>
    </font>
    <font>
      <sz val="10"/>
      <color indexed="8"/>
      <name val="Helvetica Neue"/>
      <family val="2"/>
    </font>
    <font>
      <sz val="12"/>
      <color indexed="8"/>
      <name val="Helvetica Neue"/>
      <family val="2"/>
    </font>
    <font>
      <b/>
      <sz val="14"/>
      <color rgb="FF1F4E79"/>
      <name val="Calibri"/>
      <family val="2"/>
      <scheme val="minor"/>
    </font>
    <font>
      <b/>
      <sz val="11"/>
      <color rgb="FFFFFFFF"/>
      <name val="Calibri"/>
      <family val="2"/>
      <scheme val="minor"/>
    </font>
    <font>
      <sz val="11"/>
      <color theme="1"/>
      <name val="Calibri"/>
      <family val="2"/>
      <scheme val="minor"/>
    </font>
    <font>
      <b/>
      <sz val="12"/>
      <color rgb="FF1F4E79"/>
      <name val="Calibri"/>
      <family val="2"/>
      <scheme val="minor"/>
    </font>
    <font>
      <b/>
      <sz val="11"/>
      <color theme="1"/>
      <name val="Calibri"/>
      <family val="2"/>
      <scheme val="minor"/>
    </font>
    <font>
      <b/>
      <sz val="11"/>
      <color rgb="FF1F4E79"/>
      <name val="Calibri"/>
      <family val="2"/>
      <scheme val="minor"/>
    </font>
    <font>
      <i/>
      <sz val="11"/>
      <color theme="1"/>
      <name val="Calibri"/>
      <family val="2"/>
      <scheme val="minor"/>
    </font>
    <font>
      <b/>
      <sz val="11"/>
      <color rgb="FF9C0006"/>
      <name val="Calibri"/>
      <family val="2"/>
      <scheme val="minor"/>
    </font>
    <font>
      <b/>
      <sz val="12"/>
      <color indexed="8"/>
      <name val="Calibri"/>
      <family val="2"/>
    </font>
    <font>
      <sz val="12"/>
      <color indexed="8"/>
      <name val="Calibri"/>
      <family val="2"/>
    </font>
    <font>
      <sz val="12"/>
      <color rgb="FF006100"/>
      <name val="Calibri"/>
      <family val="2"/>
    </font>
    <font>
      <sz val="12"/>
      <color rgb="FF9C5700"/>
      <name val="Calibri"/>
      <family val="2"/>
    </font>
    <font>
      <sz val="12"/>
      <color rgb="FF9C0006"/>
      <name val="Calibri"/>
      <family val="2"/>
    </font>
    <font>
      <b/>
      <sz val="11"/>
      <color rgb="FF595959"/>
      <name val="Calibri"/>
      <family val="2"/>
      <scheme val="minor"/>
    </font>
    <font>
      <sz val="18"/>
      <color indexed="8"/>
      <name val="Helvetica Neue"/>
      <family val="2"/>
    </font>
    <font>
      <sz val="14"/>
      <color theme="1"/>
      <name val="Helvetica Neue"/>
      <family val="2"/>
    </font>
    <font>
      <b/>
      <sz val="20"/>
      <color rgb="FFFFFFFF"/>
      <name val="Calibri"/>
      <family val="2"/>
      <scheme val="minor"/>
    </font>
    <font>
      <u/>
      <sz val="11"/>
      <color rgb="FF0563C1"/>
      <name val="Calibri"/>
      <family val="2"/>
      <scheme val="minor"/>
    </font>
    <font>
      <b/>
      <sz val="20"/>
      <color rgb="FFFFFFFF"/>
      <name val="Calibri"/>
      <family val="2"/>
    </font>
    <font>
      <sz val="11"/>
      <color indexed="8"/>
      <name val="Calibri"/>
      <family val="2"/>
    </font>
    <font>
      <sz val="11"/>
      <color theme="1"/>
      <name val="Calibri (Body)"/>
    </font>
    <font>
      <b/>
      <u/>
      <sz val="11"/>
      <color rgb="FF595959"/>
      <name val="Calibri"/>
      <family val="2"/>
      <scheme val="minor"/>
    </font>
    <font>
      <b/>
      <sz val="14"/>
      <color rgb="FFFFFFFF"/>
      <name val="Calibri"/>
      <family val="2"/>
    </font>
    <font>
      <sz val="14"/>
      <color indexed="8"/>
      <name val="Helvetica Neue"/>
      <family val="2"/>
    </font>
    <font>
      <sz val="20"/>
      <color theme="1"/>
      <name val="Calibri"/>
      <family val="2"/>
      <scheme val="minor"/>
    </font>
    <font>
      <b/>
      <sz val="16"/>
      <color rgb="FFFFFFFF"/>
      <name val="Arial"/>
      <family val="2"/>
    </font>
    <font>
      <sz val="13"/>
      <color rgb="FFFFFFFF"/>
      <name val="Arial"/>
      <family val="2"/>
    </font>
    <font>
      <sz val="10"/>
      <color rgb="FFFFFFFF"/>
      <name val="Arial"/>
      <family val="2"/>
    </font>
    <font>
      <sz val="11"/>
      <color rgb="FF000000"/>
      <name val="Arial"/>
      <family val="2"/>
    </font>
    <font>
      <b/>
      <sz val="12"/>
      <color rgb="FFFFFFFF"/>
      <name val="Arial"/>
      <family val="2"/>
    </font>
    <font>
      <b/>
      <sz val="10"/>
      <color rgb="FFFFFFFF"/>
      <name val="Arial"/>
      <family val="2"/>
    </font>
    <font>
      <b/>
      <sz val="11"/>
      <color rgb="FF000000"/>
      <name val="Arial"/>
      <family val="2"/>
    </font>
    <font>
      <u/>
      <sz val="11"/>
      <color rgb="FF0563C1"/>
      <name val="Arial"/>
      <family val="2"/>
    </font>
    <font>
      <sz val="11"/>
      <color rgb="FF0563C1"/>
      <name val="Arial"/>
      <family val="2"/>
    </font>
    <font>
      <sz val="12"/>
      <color theme="1"/>
      <name val="Calibri"/>
      <family val="2"/>
      <charset val="1"/>
    </font>
    <font>
      <b/>
      <sz val="20"/>
      <color rgb="FFFFFFFF"/>
      <name val="Calibri"/>
      <family val="2"/>
      <charset val="1"/>
    </font>
    <font>
      <b/>
      <sz val="14"/>
      <color rgb="FF1F4E79"/>
      <name val="Calibri"/>
      <family val="2"/>
      <charset val="1"/>
    </font>
    <font>
      <sz val="11"/>
      <color theme="1"/>
      <name val="Calibri"/>
      <family val="2"/>
      <charset val="1"/>
    </font>
    <font>
      <b/>
      <sz val="11"/>
      <color rgb="FFFFFFFF"/>
      <name val="Calibri"/>
      <family val="2"/>
      <charset val="1"/>
    </font>
    <font>
      <b/>
      <sz val="11"/>
      <color rgb="FF006100"/>
      <name val="Calibri"/>
      <family val="2"/>
      <charset val="1"/>
    </font>
    <font>
      <sz val="14"/>
      <color rgb="FF006100"/>
      <name val="Calibri"/>
      <family val="2"/>
      <charset val="1"/>
    </font>
    <font>
      <b/>
      <sz val="11"/>
      <color theme="1"/>
      <name val="Calibri"/>
      <family val="2"/>
      <charset val="1"/>
    </font>
    <font>
      <b/>
      <sz val="11"/>
      <color rgb="FF9C5700"/>
      <name val="Calibri"/>
      <family val="2"/>
      <charset val="1"/>
    </font>
    <font>
      <sz val="14"/>
      <color rgb="FF9C5700"/>
      <name val="Calibri"/>
      <family val="2"/>
      <charset val="1"/>
    </font>
    <font>
      <b/>
      <sz val="11"/>
      <color rgb="FF9C0006"/>
      <name val="Calibri"/>
      <family val="2"/>
      <charset val="1"/>
    </font>
    <font>
      <sz val="14"/>
      <color rgb="FF9C0006"/>
      <name val="Calibri"/>
      <family val="2"/>
      <charset val="1"/>
    </font>
    <font>
      <b/>
      <sz val="12"/>
      <color rgb="FF1F4E79"/>
      <name val="Calibri"/>
      <family val="2"/>
      <charset val="1"/>
    </font>
    <font>
      <sz val="11"/>
      <color rgb="FF333333"/>
      <name val="Consolas"/>
      <family val="2"/>
      <charset val="1"/>
    </font>
    <font>
      <sz val="11"/>
      <color rgb="FF006100"/>
      <name val="Consolas"/>
      <family val="2"/>
      <charset val="1"/>
    </font>
    <font>
      <sz val="11"/>
      <color rgb="FF9C5700"/>
      <name val="Consolas"/>
      <family val="2"/>
      <charset val="1"/>
    </font>
    <font>
      <sz val="11"/>
      <color rgb="FF9C0006"/>
      <name val="Consolas"/>
      <family val="2"/>
      <charset val="1"/>
    </font>
    <font>
      <b/>
      <sz val="12"/>
      <name val="Calibri"/>
      <family val="2"/>
    </font>
    <font>
      <i/>
      <sz val="10"/>
      <name val="Calibri"/>
      <family val="2"/>
    </font>
    <font>
      <b/>
      <sz val="11"/>
      <color rgb="FFFFFFFF"/>
      <name val="Calibri"/>
      <family val="2"/>
    </font>
    <font>
      <sz val="11"/>
      <name val="Calibri"/>
      <family val="2"/>
    </font>
    <font>
      <b/>
      <i/>
      <sz val="11"/>
      <color theme="1"/>
      <name val="Calibri"/>
      <family val="2"/>
      <charset val="1"/>
    </font>
    <font>
      <b/>
      <sz val="13"/>
      <color rgb="FF006100"/>
      <name val="Calibri"/>
      <family val="2"/>
      <charset val="1"/>
    </font>
    <font>
      <b/>
      <sz val="11"/>
      <color rgb="FF1F4E79"/>
      <name val="Calibri"/>
      <family val="2"/>
      <charset val="1"/>
    </font>
    <font>
      <b/>
      <sz val="12"/>
      <color rgb="FF006100"/>
      <name val="Calibri"/>
      <family val="2"/>
      <charset val="1"/>
    </font>
    <font>
      <b/>
      <sz val="13"/>
      <color rgb="FF9C5700"/>
      <name val="Calibri"/>
      <family val="2"/>
      <charset val="1"/>
    </font>
    <font>
      <b/>
      <sz val="12"/>
      <color rgb="FF9C5700"/>
      <name val="Calibri"/>
      <family val="2"/>
      <charset val="1"/>
    </font>
    <font>
      <b/>
      <sz val="13"/>
      <color rgb="FF9C0006"/>
      <name val="Calibri"/>
      <family val="2"/>
      <charset val="1"/>
    </font>
    <font>
      <b/>
      <sz val="12"/>
      <color rgb="FF9C0006"/>
      <name val="Calibri"/>
      <family val="2"/>
      <charset val="1"/>
    </font>
    <font>
      <b/>
      <sz val="12"/>
      <color rgb="FF595959"/>
      <name val="Calibri"/>
      <family val="2"/>
      <charset val="1"/>
    </font>
    <font>
      <b/>
      <sz val="12"/>
      <color rgb="FF595959"/>
      <name val="Calibri (Body)"/>
      <charset val="1"/>
    </font>
    <font>
      <b/>
      <u/>
      <sz val="10"/>
      <color rgb="FF0563C1"/>
      <name val="Calibri"/>
      <family val="2"/>
      <charset val="1"/>
    </font>
    <font>
      <b/>
      <sz val="11"/>
      <color theme="1"/>
      <name val="Calibri"/>
      <family val="2"/>
    </font>
  </fonts>
  <fills count="29">
    <fill>
      <patternFill patternType="none"/>
    </fill>
    <fill>
      <patternFill patternType="gray125"/>
    </fill>
    <fill>
      <patternFill patternType="solid">
        <fgColor rgb="FF1F4E79"/>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rgb="FFD9E2F3"/>
        <bgColor indexed="64"/>
      </patternFill>
    </fill>
    <fill>
      <patternFill patternType="solid">
        <fgColor theme="0"/>
        <bgColor indexed="64"/>
      </patternFill>
    </fill>
    <fill>
      <patternFill patternType="solid">
        <fgColor rgb="FFD6DCE4"/>
        <bgColor indexed="64"/>
      </patternFill>
    </fill>
    <fill>
      <patternFill patternType="solid">
        <fgColor rgb="FFF2F2F2"/>
        <bgColor indexed="64"/>
      </patternFill>
    </fill>
    <fill>
      <patternFill patternType="solid">
        <fgColor rgb="FFE2EFDA"/>
        <bgColor indexed="64"/>
      </patternFill>
    </fill>
    <fill>
      <patternFill patternType="solid">
        <fgColor rgb="FFFFF2CC"/>
        <bgColor indexed="64"/>
      </patternFill>
    </fill>
    <fill>
      <patternFill patternType="solid">
        <fgColor theme="0" tint="-4.9989318521683403E-2"/>
        <bgColor indexed="64"/>
      </patternFill>
    </fill>
    <fill>
      <patternFill patternType="solid">
        <fgColor rgb="FFFFFFFF"/>
        <bgColor indexed="64"/>
      </patternFill>
    </fill>
    <fill>
      <patternFill patternType="solid">
        <fgColor rgb="FFF2F2F2"/>
      </patternFill>
    </fill>
    <fill>
      <patternFill patternType="solid">
        <fgColor rgb="FF1F4E79"/>
      </patternFill>
    </fill>
    <fill>
      <patternFill patternType="solid">
        <fgColor rgb="FF2E75B6"/>
      </patternFill>
    </fill>
    <fill>
      <patternFill patternType="solid">
        <fgColor rgb="FFFFFFFF"/>
      </patternFill>
    </fill>
    <fill>
      <patternFill patternType="solid">
        <fgColor rgb="FF1F4E79"/>
        <bgColor rgb="FF003366"/>
      </patternFill>
    </fill>
    <fill>
      <patternFill patternType="solid">
        <fgColor rgb="FFFFFFFF"/>
        <bgColor rgb="FFF8F9FA"/>
      </patternFill>
    </fill>
    <fill>
      <patternFill patternType="solid">
        <fgColor rgb="FFD6DCE4"/>
        <bgColor rgb="FFD9D9D9"/>
      </patternFill>
    </fill>
    <fill>
      <patternFill patternType="solid">
        <fgColor rgb="FFC6EFCE"/>
        <bgColor rgb="FFE2EFDA"/>
      </patternFill>
    </fill>
    <fill>
      <patternFill patternType="solid">
        <fgColor rgb="FFFFEB9C"/>
        <bgColor rgb="FFFFF2CC"/>
      </patternFill>
    </fill>
    <fill>
      <patternFill patternType="solid">
        <fgColor rgb="FFFFC7CE"/>
        <bgColor rgb="FFD9D9D9"/>
      </patternFill>
    </fill>
    <fill>
      <patternFill patternType="solid">
        <fgColor rgb="FFF2F2F2"/>
        <bgColor rgb="FFF8F9FA"/>
      </patternFill>
    </fill>
    <fill>
      <patternFill patternType="solid">
        <fgColor rgb="FFF8F9FA"/>
        <bgColor rgb="FFFFFFFF"/>
      </patternFill>
    </fill>
    <fill>
      <patternFill patternType="solid">
        <fgColor rgb="FFE2EFDA"/>
        <bgColor rgb="FFF2F2F2"/>
      </patternFill>
    </fill>
    <fill>
      <patternFill patternType="solid">
        <fgColor rgb="FFFFF2CC"/>
        <bgColor rgb="FFF2F2F2"/>
      </patternFill>
    </fill>
    <fill>
      <patternFill patternType="solid">
        <fgColor rgb="FFFFEB9C"/>
        <bgColor rgb="FF000000"/>
      </patternFill>
    </fill>
  </fills>
  <borders count="69">
    <border>
      <left/>
      <right/>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top style="thin">
        <color rgb="FF1F4E79"/>
      </top>
      <bottom/>
      <diagonal/>
    </border>
    <border>
      <left/>
      <right/>
      <top style="medium">
        <color rgb="FF1F4E79"/>
      </top>
      <bottom/>
      <diagonal/>
    </border>
    <border>
      <left/>
      <right/>
      <top style="medium">
        <color rgb="FF1F4E79"/>
      </top>
      <bottom style="medium">
        <color rgb="FF1F4E79"/>
      </bottom>
      <diagonal/>
    </border>
    <border>
      <left style="medium">
        <color rgb="FF1F4E79"/>
      </left>
      <right/>
      <top style="medium">
        <color rgb="FF1F4E79"/>
      </top>
      <bottom style="medium">
        <color rgb="FF1F4E79"/>
      </bottom>
      <diagonal/>
    </border>
    <border>
      <left/>
      <right style="medium">
        <color rgb="FF1F4E79"/>
      </right>
      <top style="medium">
        <color rgb="FF1F4E79"/>
      </top>
      <bottom style="medium">
        <color rgb="FF1F4E79"/>
      </bottom>
      <diagonal/>
    </border>
    <border>
      <left style="medium">
        <color rgb="FF1F4E79"/>
      </left>
      <right/>
      <top style="medium">
        <color rgb="FF1F4E79"/>
      </top>
      <bottom/>
      <diagonal/>
    </border>
    <border>
      <left/>
      <right style="medium">
        <color rgb="FF1F4E79"/>
      </right>
      <top style="medium">
        <color rgb="FF1F4E79"/>
      </top>
      <bottom/>
      <diagonal/>
    </border>
    <border>
      <left style="medium">
        <color rgb="FF1F4E79"/>
      </left>
      <right/>
      <top style="thin">
        <color rgb="FF1F4E79"/>
      </top>
      <bottom/>
      <diagonal/>
    </border>
    <border>
      <left/>
      <right style="medium">
        <color rgb="FF1F4E79"/>
      </right>
      <top style="thin">
        <color rgb="FF1F4E79"/>
      </top>
      <bottom/>
      <diagonal/>
    </border>
    <border>
      <left style="thin">
        <color theme="2" tint="-0.499984740745262"/>
      </left>
      <right/>
      <top style="thin">
        <color theme="2" tint="-0.499984740745262"/>
      </top>
      <bottom style="thin">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2" tint="-0.499984740745262"/>
      </left>
      <right/>
      <top style="thin">
        <color theme="2" tint="-0.499984740745262"/>
      </top>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diagonal/>
    </border>
    <border>
      <left style="thin">
        <color theme="2" tint="-0.499984740745262"/>
      </left>
      <right/>
      <top style="thin">
        <color theme="2" tint="-0.499984740745262"/>
      </top>
      <bottom style="thin">
        <color rgb="FF757171"/>
      </bottom>
      <diagonal/>
    </border>
    <border>
      <left style="thin">
        <color rgb="FF757171"/>
      </left>
      <right style="thin">
        <color theme="2" tint="-0.499984740745262"/>
      </right>
      <top style="thin">
        <color theme="2" tint="-0.499984740745262"/>
      </top>
      <bottom/>
      <diagonal/>
    </border>
    <border>
      <left style="thin">
        <color rgb="FF757171"/>
      </left>
      <right style="thin">
        <color theme="2" tint="-0.499984740745262"/>
      </right>
      <top/>
      <bottom/>
      <diagonal/>
    </border>
    <border>
      <left/>
      <right style="thin">
        <color theme="2" tint="-0.499984740745262"/>
      </right>
      <top/>
      <bottom style="thin">
        <color theme="2" tint="-0.499984740745262"/>
      </bottom>
      <diagonal/>
    </border>
    <border>
      <left style="thin">
        <color theme="2" tint="-0.499984740745262"/>
      </left>
      <right/>
      <top/>
      <bottom style="thin">
        <color theme="2" tint="-0.499984740745262"/>
      </bottom>
      <diagonal/>
    </border>
    <border>
      <left/>
      <right/>
      <top style="thin">
        <color rgb="FF757171"/>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757171"/>
      </top>
      <bottom style="thin">
        <color rgb="FF757171"/>
      </bottom>
      <diagonal/>
    </border>
    <border>
      <left style="thin">
        <color rgb="FF757171"/>
      </left>
      <right/>
      <top style="thin">
        <color rgb="FF757171"/>
      </top>
      <bottom style="thin">
        <color rgb="FF757171"/>
      </bottom>
      <diagonal/>
    </border>
    <border>
      <left style="thin">
        <color rgb="FF757171"/>
      </left>
      <right/>
      <top style="thin">
        <color rgb="FF757171"/>
      </top>
      <bottom/>
      <diagonal/>
    </border>
    <border>
      <left/>
      <right style="thin">
        <color rgb="FF757171"/>
      </right>
      <top style="thin">
        <color rgb="FF757171"/>
      </top>
      <bottom/>
      <diagonal/>
    </border>
    <border>
      <left/>
      <right/>
      <top/>
      <bottom style="thin">
        <color rgb="FF1F4E79"/>
      </bottom>
      <diagonal/>
    </border>
    <border>
      <left/>
      <right/>
      <top/>
      <bottom style="medium">
        <color rgb="FF1F4E79"/>
      </bottom>
      <diagonal/>
    </border>
    <border>
      <left/>
      <right/>
      <top style="thin">
        <color rgb="FF548235"/>
      </top>
      <bottom/>
      <diagonal/>
    </border>
    <border>
      <left/>
      <right/>
      <top/>
      <bottom style="thin">
        <color rgb="FF548235"/>
      </bottom>
      <diagonal/>
    </border>
    <border>
      <left/>
      <right/>
      <top/>
      <bottom style="medium">
        <color rgb="FF548235"/>
      </bottom>
      <diagonal/>
    </border>
    <border>
      <left/>
      <right/>
      <top style="medium">
        <color rgb="FF9C0006"/>
      </top>
      <bottom/>
      <diagonal/>
    </border>
    <border>
      <left style="thin">
        <color rgb="FFD9D9D9"/>
      </left>
      <right/>
      <top style="medium">
        <color rgb="FF1F4E79"/>
      </top>
      <bottom/>
      <diagonal/>
    </border>
    <border>
      <left/>
      <right/>
      <top style="thin">
        <color rgb="FFD9D9D9"/>
      </top>
      <bottom style="thin">
        <color rgb="FFD9D9D9"/>
      </bottom>
      <diagonal/>
    </border>
    <border>
      <left style="thin">
        <color rgb="FFD9D9D9"/>
      </left>
      <right/>
      <top style="thin">
        <color rgb="FFD9D9D9"/>
      </top>
      <bottom style="thin">
        <color rgb="FFD9D9D9"/>
      </bottom>
      <diagonal/>
    </border>
    <border>
      <left style="thin">
        <color rgb="FFD9D9D9"/>
      </left>
      <right/>
      <top style="thin">
        <color rgb="FFD9D9D9"/>
      </top>
      <bottom/>
      <diagonal/>
    </border>
    <border>
      <left/>
      <right/>
      <top style="thin">
        <color rgb="FFD9D9D9"/>
      </top>
      <bottom/>
      <diagonal/>
    </border>
    <border>
      <left/>
      <right/>
      <top style="thin">
        <color rgb="FFB4C6E7"/>
      </top>
      <bottom/>
      <diagonal/>
    </border>
    <border>
      <left style="thin">
        <color rgb="FF548235"/>
      </left>
      <right/>
      <top/>
      <bottom/>
      <diagonal/>
    </border>
    <border>
      <left/>
      <right style="thin">
        <color rgb="FF548235"/>
      </right>
      <top/>
      <bottom/>
      <diagonal/>
    </border>
    <border>
      <left/>
      <right/>
      <top/>
      <bottom style="thin">
        <color rgb="FFBF8F00"/>
      </bottom>
      <diagonal/>
    </border>
    <border>
      <left style="thin">
        <color rgb="FFBF8F00"/>
      </left>
      <right/>
      <top/>
      <bottom/>
      <diagonal/>
    </border>
    <border>
      <left/>
      <right style="thin">
        <color rgb="FFBF8F00"/>
      </right>
      <top/>
      <bottom/>
      <diagonal/>
    </border>
    <border>
      <left style="thin">
        <color rgb="FF9C0006"/>
      </left>
      <right/>
      <top/>
      <bottom/>
      <diagonal/>
    </border>
    <border>
      <left/>
      <right style="thin">
        <color rgb="FF9C0006"/>
      </right>
      <top/>
      <bottom/>
      <diagonal/>
    </border>
    <border>
      <left/>
      <right style="thin">
        <color rgb="FFD9D9D9"/>
      </right>
      <top/>
      <bottom/>
      <diagonal/>
    </border>
    <border>
      <left/>
      <right style="thin">
        <color rgb="FFD9D9D9"/>
      </right>
      <top style="medium">
        <color rgb="FF1F4E79"/>
      </top>
      <bottom/>
      <diagonal/>
    </border>
    <border>
      <left/>
      <right style="thin">
        <color rgb="FFD9D9D9"/>
      </right>
      <top style="thin">
        <color rgb="FFD9D9D9"/>
      </top>
      <bottom/>
      <diagonal/>
    </border>
    <border>
      <left/>
      <right style="thin">
        <color rgb="FFD9D9D9"/>
      </right>
      <top style="thin">
        <color rgb="FFD9D9D9"/>
      </top>
      <bottom style="thin">
        <color rgb="FFD9D9D9"/>
      </bottom>
      <diagonal/>
    </border>
    <border>
      <left/>
      <right style="thin">
        <color rgb="FFD9D9D9"/>
      </right>
      <top style="thin">
        <color rgb="FF1F4E79"/>
      </top>
      <bottom/>
      <diagonal/>
    </border>
    <border>
      <left style="thin">
        <color rgb="FFD9D9D9"/>
      </left>
      <right/>
      <top/>
      <bottom/>
      <diagonal/>
    </border>
    <border>
      <left style="thin">
        <color rgb="FFD9D9D9"/>
      </left>
      <right/>
      <top style="thin">
        <color rgb="FF1F4E79"/>
      </top>
      <bottom/>
      <diagonal/>
    </border>
    <border>
      <left style="medium">
        <color rgb="FF1F4E79"/>
      </left>
      <right/>
      <top/>
      <bottom/>
      <diagonal/>
    </border>
    <border>
      <left/>
      <right style="medium">
        <color rgb="FF1F4E79"/>
      </right>
      <top/>
      <bottom/>
      <diagonal/>
    </border>
    <border>
      <left style="medium">
        <color rgb="FF548235"/>
      </left>
      <right/>
      <top/>
      <bottom/>
      <diagonal/>
    </border>
    <border>
      <left/>
      <right/>
      <top style="medium">
        <color rgb="FF006100"/>
      </top>
      <bottom/>
      <diagonal/>
    </border>
    <border>
      <left/>
      <right/>
      <top style="medium">
        <color rgb="FF9C5700"/>
      </top>
      <bottom/>
      <diagonal/>
    </border>
    <border>
      <left style="thin">
        <color rgb="FFD9D9D9"/>
      </left>
      <right/>
      <top style="medium">
        <color rgb="FF1F4E79"/>
      </top>
      <bottom style="medium">
        <color rgb="FF1F4E79"/>
      </bottom>
      <diagonal/>
    </border>
    <border>
      <left/>
      <right style="thin">
        <color rgb="FFD9D9D9"/>
      </right>
      <top style="medium">
        <color rgb="FF1F4E79"/>
      </top>
      <bottom style="medium">
        <color rgb="FF1F4E79"/>
      </bottom>
      <diagonal/>
    </border>
    <border>
      <left style="thin">
        <color rgb="FF000000"/>
      </left>
      <right/>
      <top/>
      <bottom/>
      <diagonal/>
    </border>
    <border>
      <left style="thin">
        <color rgb="FF757171"/>
      </left>
      <right/>
      <top style="thin">
        <color rgb="FF757171"/>
      </top>
      <bottom style="medium">
        <color rgb="FF1F4E79"/>
      </bottom>
      <diagonal/>
    </border>
    <border>
      <left/>
      <right/>
      <top style="thin">
        <color rgb="FF757171"/>
      </top>
      <bottom style="medium">
        <color rgb="FF1F4E79"/>
      </bottom>
      <diagonal/>
    </border>
    <border>
      <left style="thin">
        <color auto="1"/>
      </left>
      <right/>
      <top/>
      <bottom/>
      <diagonal/>
    </border>
    <border>
      <left style="thin">
        <color rgb="FFB4C6E7"/>
      </left>
      <right style="thin">
        <color rgb="FFB4C6E7"/>
      </right>
      <top/>
      <bottom/>
      <diagonal/>
    </border>
    <border>
      <left style="thin">
        <color rgb="FF548235"/>
      </left>
      <right style="thin">
        <color rgb="FF548235"/>
      </right>
      <top/>
      <bottom/>
      <diagonal/>
    </border>
    <border>
      <left style="thin">
        <color rgb="FF757171"/>
      </left>
      <right style="thin">
        <color rgb="FF757171"/>
      </right>
      <top style="thin">
        <color rgb="FF757171"/>
      </top>
      <bottom style="thin">
        <color rgb="FF757171"/>
      </bottom>
      <diagonal/>
    </border>
    <border>
      <left style="thin">
        <color rgb="FF757171"/>
      </left>
      <right style="thin">
        <color auto="1"/>
      </right>
      <top style="thin">
        <color rgb="FF757171"/>
      </top>
      <bottom style="thin">
        <color rgb="FF757171"/>
      </bottom>
      <diagonal/>
    </border>
  </borders>
  <cellStyleXfs count="4">
    <xf numFmtId="0" fontId="0" fillId="0" borderId="0"/>
    <xf numFmtId="0" fontId="11" fillId="0" borderId="0" applyNumberFormat="0" applyFill="0" applyBorder="0" applyAlignment="0" applyProtection="0"/>
    <xf numFmtId="0" fontId="12" fillId="0" borderId="0" applyNumberFormat="0" applyFill="0" applyBorder="0" applyProtection="0">
      <alignment vertical="top" wrapText="1"/>
    </xf>
    <xf numFmtId="0" fontId="48" fillId="0" borderId="0"/>
  </cellStyleXfs>
  <cellXfs count="301">
    <xf numFmtId="0" fontId="0" fillId="0" borderId="0" xfId="0"/>
    <xf numFmtId="0" fontId="0" fillId="0" borderId="0" xfId="0" applyAlignment="1">
      <alignment vertical="top" wrapText="1"/>
    </xf>
    <xf numFmtId="0" fontId="0" fillId="0" borderId="0" xfId="0" applyAlignment="1">
      <alignment horizontal="left" vertical="top" wrapText="1"/>
    </xf>
    <xf numFmtId="0" fontId="10" fillId="0" borderId="0" xfId="0" applyFont="1" applyAlignment="1">
      <alignment vertical="top" wrapText="1"/>
    </xf>
    <xf numFmtId="0" fontId="0" fillId="0" borderId="0" xfId="0" applyAlignment="1">
      <alignment vertical="top"/>
    </xf>
    <xf numFmtId="0" fontId="12" fillId="0" borderId="0" xfId="2" applyNumberFormat="1" applyAlignment="1">
      <alignment vertical="top"/>
    </xf>
    <xf numFmtId="0" fontId="13" fillId="0" borderId="0" xfId="2" applyNumberFormat="1" applyFont="1" applyAlignment="1">
      <alignment vertical="top"/>
    </xf>
    <xf numFmtId="0" fontId="12" fillId="0" borderId="0" xfId="2" applyNumberFormat="1">
      <alignment vertical="top" wrapText="1"/>
    </xf>
    <xf numFmtId="0" fontId="13" fillId="0" borderId="0" xfId="2" applyNumberFormat="1" applyFont="1" applyBorder="1" applyAlignment="1">
      <alignment vertical="top"/>
    </xf>
    <xf numFmtId="0" fontId="9" fillId="2" borderId="3" xfId="0" applyFont="1" applyFill="1" applyBorder="1" applyAlignment="1">
      <alignment vertical="top"/>
    </xf>
    <xf numFmtId="0" fontId="9" fillId="2" borderId="8" xfId="0" applyFont="1" applyFill="1" applyBorder="1" applyAlignment="1">
      <alignment vertical="top"/>
    </xf>
    <xf numFmtId="0" fontId="9" fillId="2" borderId="7" xfId="0" applyFont="1" applyFill="1" applyBorder="1" applyAlignment="1">
      <alignment vertical="top"/>
    </xf>
    <xf numFmtId="0" fontId="0" fillId="9" borderId="21" xfId="0" applyFill="1" applyBorder="1" applyAlignment="1">
      <alignment horizontal="left" vertical="top"/>
    </xf>
    <xf numFmtId="0" fontId="0" fillId="9" borderId="21" xfId="0" applyFill="1" applyBorder="1" applyAlignment="1">
      <alignment horizontal="left" vertical="top" wrapText="1"/>
    </xf>
    <xf numFmtId="0" fontId="0" fillId="9" borderId="27" xfId="0" applyFill="1" applyBorder="1" applyAlignment="1">
      <alignment horizontal="left" vertical="top" wrapText="1"/>
    </xf>
    <xf numFmtId="0" fontId="0" fillId="0" borderId="21" xfId="0" applyBorder="1" applyAlignment="1">
      <alignment horizontal="left" vertical="top"/>
    </xf>
    <xf numFmtId="0" fontId="0" fillId="0" borderId="21" xfId="0" applyBorder="1" applyAlignment="1">
      <alignment horizontal="left" vertical="top" wrapText="1"/>
    </xf>
    <xf numFmtId="0" fontId="0" fillId="0" borderId="27" xfId="0" applyBorder="1" applyAlignment="1">
      <alignment horizontal="left" vertical="top" wrapText="1"/>
    </xf>
    <xf numFmtId="0" fontId="0" fillId="0" borderId="24" xfId="0" applyBorder="1" applyAlignment="1">
      <alignment horizontal="left" vertical="top" wrapText="1"/>
    </xf>
    <xf numFmtId="0" fontId="0" fillId="9" borderId="21" xfId="0" applyFill="1" applyBorder="1" applyAlignment="1">
      <alignment horizontal="center" vertical="top"/>
    </xf>
    <xf numFmtId="0" fontId="0" fillId="0" borderId="21" xfId="0" applyBorder="1" applyAlignment="1">
      <alignment horizontal="center" vertical="top"/>
    </xf>
    <xf numFmtId="0" fontId="0" fillId="0" borderId="24" xfId="0" applyBorder="1" applyAlignment="1">
      <alignment horizontal="center" vertical="top"/>
    </xf>
    <xf numFmtId="0" fontId="1" fillId="3" borderId="21" xfId="0" applyFont="1" applyFill="1" applyBorder="1" applyAlignment="1">
      <alignment horizontal="center" vertical="top"/>
    </xf>
    <xf numFmtId="0" fontId="3" fillId="4" borderId="21" xfId="0" applyFont="1" applyFill="1" applyBorder="1" applyAlignment="1">
      <alignment horizontal="center" vertical="top"/>
    </xf>
    <xf numFmtId="0" fontId="2" fillId="5" borderId="21" xfId="0" applyFont="1" applyFill="1" applyBorder="1" applyAlignment="1">
      <alignment horizontal="center" vertical="top"/>
    </xf>
    <xf numFmtId="0" fontId="2" fillId="5" borderId="24" xfId="0" applyFont="1" applyFill="1" applyBorder="1" applyAlignment="1">
      <alignment horizontal="center" vertical="top"/>
    </xf>
    <xf numFmtId="0" fontId="28" fillId="0" borderId="0" xfId="2" applyNumberFormat="1" applyFont="1" applyBorder="1" applyAlignment="1">
      <alignment vertical="top"/>
    </xf>
    <xf numFmtId="0" fontId="28" fillId="0" borderId="0" xfId="2" applyNumberFormat="1" applyFont="1" applyAlignment="1">
      <alignment vertical="top"/>
    </xf>
    <xf numFmtId="0" fontId="0" fillId="0" borderId="21" xfId="0" applyBorder="1" applyAlignment="1">
      <alignment horizontal="center" vertical="top" wrapText="1"/>
    </xf>
    <xf numFmtId="0" fontId="12" fillId="0" borderId="0" xfId="2" applyNumberFormat="1" applyAlignment="1">
      <alignment horizontal="left" vertical="top"/>
    </xf>
    <xf numFmtId="0" fontId="0" fillId="12" borderId="21" xfId="0" applyFill="1" applyBorder="1" applyAlignment="1">
      <alignment horizontal="left" vertical="top"/>
    </xf>
    <xf numFmtId="0" fontId="0" fillId="12" borderId="21" xfId="0" applyFill="1" applyBorder="1" applyAlignment="1">
      <alignment horizontal="left" vertical="top" wrapText="1"/>
    </xf>
    <xf numFmtId="0" fontId="0" fillId="12" borderId="21" xfId="0" applyFill="1" applyBorder="1" applyAlignment="1">
      <alignment horizontal="center" vertical="top"/>
    </xf>
    <xf numFmtId="0" fontId="16" fillId="9" borderId="3" xfId="0" applyFont="1" applyFill="1" applyBorder="1" applyAlignment="1">
      <alignment vertical="top" wrapText="1"/>
    </xf>
    <xf numFmtId="0" fontId="16" fillId="13" borderId="38" xfId="0" applyFont="1" applyFill="1" applyBorder="1" applyAlignment="1">
      <alignment vertical="top" wrapText="1"/>
    </xf>
    <xf numFmtId="0" fontId="16" fillId="9" borderId="35" xfId="0" applyFont="1" applyFill="1" applyBorder="1" applyAlignment="1">
      <alignment vertical="top" wrapText="1"/>
    </xf>
    <xf numFmtId="0" fontId="16" fillId="9" borderId="38" xfId="0" applyFont="1" applyFill="1" applyBorder="1" applyAlignment="1">
      <alignment vertical="top" wrapText="1"/>
    </xf>
    <xf numFmtId="0" fontId="16" fillId="9" borderId="34" xfId="0" applyFont="1" applyFill="1" applyBorder="1" applyAlignment="1">
      <alignment horizontal="center" vertical="center" wrapText="1"/>
    </xf>
    <xf numFmtId="0" fontId="16" fillId="13" borderId="37" xfId="0" applyFont="1" applyFill="1" applyBorder="1" applyAlignment="1">
      <alignment horizontal="center" vertical="center" wrapText="1"/>
    </xf>
    <xf numFmtId="0" fontId="16" fillId="9" borderId="37" xfId="0" applyFont="1" applyFill="1" applyBorder="1" applyAlignment="1">
      <alignment horizontal="center" vertical="center" wrapText="1"/>
    </xf>
    <xf numFmtId="0" fontId="16" fillId="9" borderId="36" xfId="0" applyFont="1" applyFill="1" applyBorder="1" applyAlignment="1">
      <alignment horizontal="center" vertical="center" wrapText="1"/>
    </xf>
    <xf numFmtId="0" fontId="15" fillId="2" borderId="0" xfId="0" applyFont="1" applyFill="1" applyAlignment="1">
      <alignment horizontal="center" vertical="center" wrapText="1"/>
    </xf>
    <xf numFmtId="0" fontId="0" fillId="13" borderId="0" xfId="0" applyFill="1" applyAlignment="1">
      <alignment vertical="top" wrapText="1"/>
    </xf>
    <xf numFmtId="0" fontId="0" fillId="13" borderId="32" xfId="0" applyFill="1" applyBorder="1" applyAlignment="1">
      <alignment vertical="top" wrapText="1"/>
    </xf>
    <xf numFmtId="0" fontId="0" fillId="13" borderId="28" xfId="0" applyFill="1" applyBorder="1" applyAlignment="1">
      <alignment vertical="top" wrapText="1"/>
    </xf>
    <xf numFmtId="0" fontId="0" fillId="13" borderId="42" xfId="0" applyFill="1" applyBorder="1" applyAlignment="1">
      <alignment vertical="top" wrapText="1"/>
    </xf>
    <xf numFmtId="0" fontId="15" fillId="2" borderId="47" xfId="0" applyFont="1" applyFill="1" applyBorder="1" applyAlignment="1">
      <alignment horizontal="center" vertical="center" wrapText="1"/>
    </xf>
    <xf numFmtId="0" fontId="16" fillId="9" borderId="48" xfId="0" applyFont="1" applyFill="1" applyBorder="1" applyAlignment="1">
      <alignment vertical="top" wrapText="1"/>
    </xf>
    <xf numFmtId="0" fontId="16" fillId="13" borderId="49" xfId="0" applyFont="1" applyFill="1" applyBorder="1" applyAlignment="1">
      <alignment vertical="top" wrapText="1"/>
    </xf>
    <xf numFmtId="0" fontId="16" fillId="9" borderId="49" xfId="0" applyFont="1" applyFill="1" applyBorder="1" applyAlignment="1">
      <alignment vertical="top" wrapText="1"/>
    </xf>
    <xf numFmtId="0" fontId="16" fillId="9" borderId="50" xfId="0" applyFont="1" applyFill="1" applyBorder="1" applyAlignment="1">
      <alignment vertical="top" wrapText="1"/>
    </xf>
    <xf numFmtId="0" fontId="15" fillId="2" borderId="51" xfId="0" applyFont="1" applyFill="1" applyBorder="1" applyAlignment="1">
      <alignment horizontal="center" vertical="center" wrapText="1"/>
    </xf>
    <xf numFmtId="0" fontId="15" fillId="2" borderId="52" xfId="0" applyFont="1" applyFill="1" applyBorder="1" applyAlignment="1">
      <alignment horizontal="center" vertical="center" wrapText="1"/>
    </xf>
    <xf numFmtId="0" fontId="18" fillId="9" borderId="34" xfId="0" applyFont="1" applyFill="1" applyBorder="1" applyAlignment="1">
      <alignment vertical="top" wrapText="1"/>
    </xf>
    <xf numFmtId="0" fontId="18" fillId="13" borderId="37" xfId="0" applyFont="1" applyFill="1" applyBorder="1" applyAlignment="1">
      <alignment vertical="top" wrapText="1"/>
    </xf>
    <xf numFmtId="0" fontId="18" fillId="9" borderId="36" xfId="0" applyFont="1" applyFill="1" applyBorder="1" applyAlignment="1">
      <alignment vertical="top" wrapText="1"/>
    </xf>
    <xf numFmtId="0" fontId="15" fillId="2" borderId="53" xfId="0" applyFont="1" applyFill="1" applyBorder="1" applyAlignment="1">
      <alignment horizontal="center" vertical="center" wrapText="1"/>
    </xf>
    <xf numFmtId="0" fontId="18" fillId="9" borderId="37" xfId="0" applyFont="1" applyFill="1" applyBorder="1" applyAlignment="1">
      <alignment vertical="top" wrapText="1"/>
    </xf>
    <xf numFmtId="0" fontId="6" fillId="3" borderId="0" xfId="0" applyFont="1" applyFill="1" applyAlignment="1">
      <alignment horizontal="center" vertical="center"/>
    </xf>
    <xf numFmtId="0" fontId="7" fillId="4" borderId="0" xfId="0" applyFont="1" applyFill="1" applyAlignment="1">
      <alignment horizontal="center" vertical="center"/>
    </xf>
    <xf numFmtId="0" fontId="8" fillId="5" borderId="0" xfId="0" applyFont="1" applyFill="1" applyAlignment="1">
      <alignment horizontal="center" vertical="center"/>
    </xf>
    <xf numFmtId="0" fontId="0" fillId="13" borderId="0" xfId="0" applyFill="1"/>
    <xf numFmtId="0" fontId="5" fillId="2" borderId="7" xfId="0" applyFont="1" applyFill="1" applyBorder="1" applyAlignment="1">
      <alignment vertical="center"/>
    </xf>
    <xf numFmtId="0" fontId="5" fillId="2" borderId="3" xfId="0" applyFont="1" applyFill="1" applyBorder="1" applyAlignment="1">
      <alignment horizontal="center" vertical="center"/>
    </xf>
    <xf numFmtId="0" fontId="5" fillId="2" borderId="8" xfId="0" applyFont="1" applyFill="1" applyBorder="1" applyAlignment="1">
      <alignment horizontal="center" vertical="center"/>
    </xf>
    <xf numFmtId="0" fontId="1" fillId="3" borderId="34" xfId="0" applyFont="1" applyFill="1" applyBorder="1" applyAlignment="1">
      <alignment vertical="center"/>
    </xf>
    <xf numFmtId="0" fontId="0" fillId="0" borderId="3" xfId="0" applyBorder="1" applyAlignment="1">
      <alignment horizontal="center" vertical="center"/>
    </xf>
    <xf numFmtId="0" fontId="3" fillId="4" borderId="37" xfId="0" applyFont="1" applyFill="1" applyBorder="1" applyAlignment="1">
      <alignment vertical="center"/>
    </xf>
    <xf numFmtId="0" fontId="0" fillId="0" borderId="38" xfId="0" applyBorder="1" applyAlignment="1">
      <alignment horizontal="center" vertical="center"/>
    </xf>
    <xf numFmtId="0" fontId="2" fillId="5" borderId="37" xfId="0" applyFont="1" applyFill="1" applyBorder="1" applyAlignment="1">
      <alignment vertical="center"/>
    </xf>
    <xf numFmtId="0" fontId="4" fillId="0" borderId="59" xfId="0" applyFont="1" applyBorder="1" applyAlignment="1">
      <alignment vertical="center"/>
    </xf>
    <xf numFmtId="0" fontId="4" fillId="0" borderId="4" xfId="0" applyFont="1" applyBorder="1" applyAlignment="1">
      <alignment horizontal="center" vertical="center"/>
    </xf>
    <xf numFmtId="0" fontId="5" fillId="2" borderId="0" xfId="0" applyFont="1" applyFill="1" applyAlignment="1">
      <alignment vertical="center"/>
    </xf>
    <xf numFmtId="0" fontId="5" fillId="2" borderId="0" xfId="0" applyFont="1" applyFill="1" applyAlignment="1">
      <alignment horizontal="center" vertical="center"/>
    </xf>
    <xf numFmtId="0" fontId="0" fillId="9" borderId="34" xfId="0" applyFill="1" applyBorder="1" applyAlignment="1">
      <alignment vertical="center"/>
    </xf>
    <xf numFmtId="0" fontId="0" fillId="9" borderId="3" xfId="0" applyFill="1" applyBorder="1" applyAlignment="1">
      <alignment horizontal="center" vertical="center"/>
    </xf>
    <xf numFmtId="0" fontId="4" fillId="9" borderId="48" xfId="0" applyFont="1" applyFill="1" applyBorder="1" applyAlignment="1">
      <alignment horizontal="center" vertical="center"/>
    </xf>
    <xf numFmtId="0" fontId="0" fillId="0" borderId="37" xfId="0" applyBorder="1" applyAlignment="1">
      <alignment horizontal="left" vertical="center"/>
    </xf>
    <xf numFmtId="0" fontId="4" fillId="0" borderId="49" xfId="0" applyFont="1" applyBorder="1" applyAlignment="1">
      <alignment horizontal="center" vertical="center"/>
    </xf>
    <xf numFmtId="0" fontId="0" fillId="9" borderId="37" xfId="0" applyFill="1" applyBorder="1" applyAlignment="1">
      <alignment vertical="center"/>
    </xf>
    <xf numFmtId="0" fontId="0" fillId="9" borderId="38" xfId="0" applyFill="1" applyBorder="1" applyAlignment="1">
      <alignment horizontal="center" vertical="center"/>
    </xf>
    <xf numFmtId="0" fontId="4" fillId="9" borderId="49" xfId="0" applyFont="1" applyFill="1" applyBorder="1" applyAlignment="1">
      <alignment horizontal="center" vertical="center"/>
    </xf>
    <xf numFmtId="0" fontId="0" fillId="0" borderId="37" xfId="0" applyBorder="1" applyAlignment="1">
      <alignment vertical="center"/>
    </xf>
    <xf numFmtId="0" fontId="4" fillId="6" borderId="59" xfId="0" applyFont="1" applyFill="1" applyBorder="1" applyAlignment="1">
      <alignment vertical="center"/>
    </xf>
    <xf numFmtId="0" fontId="4" fillId="6" borderId="4" xfId="0" applyFont="1" applyFill="1" applyBorder="1" applyAlignment="1">
      <alignment horizontal="center" vertical="center"/>
    </xf>
    <xf numFmtId="0" fontId="4" fillId="6" borderId="60" xfId="0" applyFont="1" applyFill="1" applyBorder="1" applyAlignment="1">
      <alignment horizontal="center" vertical="center"/>
    </xf>
    <xf numFmtId="164" fontId="0" fillId="0" borderId="3" xfId="0" applyNumberFormat="1" applyBorder="1" applyAlignment="1">
      <alignment horizontal="center" vertical="center"/>
    </xf>
    <xf numFmtId="0" fontId="0" fillId="0" borderId="48" xfId="0" applyBorder="1" applyAlignment="1">
      <alignment horizontal="center" vertical="center"/>
    </xf>
    <xf numFmtId="164" fontId="0" fillId="0" borderId="38" xfId="0" applyNumberFormat="1" applyBorder="1" applyAlignment="1">
      <alignment horizontal="center" vertical="center"/>
    </xf>
    <xf numFmtId="0" fontId="0" fillId="0" borderId="49" xfId="0" applyBorder="1" applyAlignment="1">
      <alignment horizontal="center" vertical="center"/>
    </xf>
    <xf numFmtId="165" fontId="0" fillId="0" borderId="48" xfId="0" applyNumberFormat="1" applyBorder="1" applyAlignment="1">
      <alignment horizontal="center" vertical="center"/>
    </xf>
    <xf numFmtId="165" fontId="0" fillId="0" borderId="49" xfId="0" applyNumberFormat="1" applyBorder="1" applyAlignment="1">
      <alignment horizontal="center" vertical="center"/>
    </xf>
    <xf numFmtId="165" fontId="4" fillId="0" borderId="60" xfId="0" applyNumberFormat="1" applyFont="1" applyBorder="1" applyAlignment="1">
      <alignment horizontal="center" vertical="center"/>
    </xf>
    <xf numFmtId="49" fontId="23" fillId="9" borderId="14" xfId="2" applyNumberFormat="1" applyFont="1" applyFill="1" applyBorder="1">
      <alignment vertical="top" wrapText="1"/>
    </xf>
    <xf numFmtId="49" fontId="23" fillId="9" borderId="1" xfId="2" applyNumberFormat="1" applyFont="1" applyFill="1" applyBorder="1">
      <alignment vertical="top" wrapText="1"/>
    </xf>
    <xf numFmtId="49" fontId="24" fillId="3" borderId="1" xfId="2" applyNumberFormat="1" applyFont="1" applyFill="1" applyBorder="1" applyAlignment="1">
      <alignment horizontal="center" vertical="top" wrapText="1"/>
    </xf>
    <xf numFmtId="49" fontId="23" fillId="9" borderId="11" xfId="2" applyNumberFormat="1" applyFont="1" applyFill="1" applyBorder="1">
      <alignment vertical="top" wrapText="1"/>
    </xf>
    <xf numFmtId="49" fontId="23" fillId="0" borderId="14" xfId="2" applyNumberFormat="1" applyFont="1" applyBorder="1">
      <alignment vertical="top" wrapText="1"/>
    </xf>
    <xf numFmtId="49" fontId="23" fillId="0" borderId="1" xfId="2" applyNumberFormat="1" applyFont="1" applyBorder="1">
      <alignment vertical="top" wrapText="1"/>
    </xf>
    <xf numFmtId="49" fontId="23" fillId="0" borderId="11" xfId="2" applyNumberFormat="1" applyFont="1" applyBorder="1">
      <alignment vertical="top" wrapText="1"/>
    </xf>
    <xf numFmtId="49" fontId="25" fillId="4" borderId="1" xfId="2" applyNumberFormat="1" applyFont="1" applyFill="1" applyBorder="1" applyAlignment="1">
      <alignment horizontal="center" vertical="top" wrapText="1"/>
    </xf>
    <xf numFmtId="49" fontId="26" fillId="5" borderId="1" xfId="2" applyNumberFormat="1" applyFont="1" applyFill="1" applyBorder="1" applyAlignment="1">
      <alignment horizontal="center" vertical="top" wrapText="1"/>
    </xf>
    <xf numFmtId="49" fontId="23" fillId="7" borderId="14" xfId="2" applyNumberFormat="1" applyFont="1" applyFill="1" applyBorder="1">
      <alignment vertical="top" wrapText="1"/>
    </xf>
    <xf numFmtId="49" fontId="23" fillId="7" borderId="1" xfId="2" applyNumberFormat="1" applyFont="1" applyFill="1" applyBorder="1">
      <alignment vertical="top" wrapText="1"/>
    </xf>
    <xf numFmtId="49" fontId="23" fillId="7" borderId="11" xfId="2" applyNumberFormat="1" applyFont="1" applyFill="1" applyBorder="1">
      <alignment vertical="top" wrapText="1"/>
    </xf>
    <xf numFmtId="49" fontId="23" fillId="7" borderId="15" xfId="2" applyNumberFormat="1" applyFont="1" applyFill="1" applyBorder="1">
      <alignment vertical="top" wrapText="1"/>
    </xf>
    <xf numFmtId="49" fontId="26" fillId="5" borderId="15" xfId="2" applyNumberFormat="1" applyFont="1" applyFill="1" applyBorder="1" applyAlignment="1">
      <alignment horizontal="center" vertical="top" wrapText="1"/>
    </xf>
    <xf numFmtId="49" fontId="23" fillId="7" borderId="13" xfId="2" applyNumberFormat="1" applyFont="1" applyFill="1" applyBorder="1">
      <alignment vertical="top" wrapText="1"/>
    </xf>
    <xf numFmtId="49" fontId="26" fillId="5" borderId="16" xfId="2" applyNumberFormat="1" applyFont="1" applyFill="1" applyBorder="1" applyAlignment="1">
      <alignment horizontal="center" vertical="top" wrapText="1"/>
    </xf>
    <xf numFmtId="49" fontId="33" fillId="9" borderId="23" xfId="2" applyNumberFormat="1" applyFont="1" applyFill="1" applyBorder="1" applyAlignment="1">
      <alignment horizontal="center" vertical="center" wrapText="1"/>
    </xf>
    <xf numFmtId="49" fontId="33" fillId="0" borderId="23" xfId="2" applyNumberFormat="1" applyFont="1" applyBorder="1" applyAlignment="1">
      <alignment horizontal="center" vertical="center" wrapText="1"/>
    </xf>
    <xf numFmtId="49" fontId="33" fillId="9" borderId="22" xfId="2" applyNumberFormat="1" applyFont="1" applyFill="1" applyBorder="1" applyAlignment="1">
      <alignment horizontal="center" vertical="center" wrapText="1"/>
    </xf>
    <xf numFmtId="49" fontId="33" fillId="7" borderId="23" xfId="2" applyNumberFormat="1" applyFont="1" applyFill="1" applyBorder="1" applyAlignment="1">
      <alignment horizontal="center" vertical="center" wrapText="1"/>
    </xf>
    <xf numFmtId="49" fontId="22" fillId="9" borderId="1" xfId="2" applyNumberFormat="1" applyFont="1" applyFill="1" applyBorder="1" applyAlignment="1">
      <alignment horizontal="center" vertical="center" wrapText="1"/>
    </xf>
    <xf numFmtId="49" fontId="22" fillId="7" borderId="15" xfId="2" applyNumberFormat="1" applyFont="1" applyFill="1" applyBorder="1" applyAlignment="1">
      <alignment horizontal="center" vertical="center" wrapText="1"/>
    </xf>
    <xf numFmtId="49" fontId="36" fillId="2" borderId="18" xfId="2" applyNumberFormat="1" applyFont="1" applyFill="1" applyBorder="1" applyAlignment="1">
      <alignment horizontal="center" vertical="center" wrapText="1"/>
    </xf>
    <xf numFmtId="49" fontId="36" fillId="2" borderId="19" xfId="2" applyNumberFormat="1" applyFont="1" applyFill="1" applyBorder="1" applyAlignment="1">
      <alignment horizontal="center" vertical="center" wrapText="1"/>
    </xf>
    <xf numFmtId="49" fontId="36" fillId="2" borderId="12" xfId="2" applyNumberFormat="1" applyFont="1" applyFill="1" applyBorder="1" applyAlignment="1">
      <alignment horizontal="center" vertical="center" wrapText="1"/>
    </xf>
    <xf numFmtId="49" fontId="36" fillId="2" borderId="20" xfId="2" applyNumberFormat="1" applyFont="1" applyFill="1" applyBorder="1" applyAlignment="1">
      <alignment horizontal="center" vertical="center" wrapText="1"/>
    </xf>
    <xf numFmtId="49" fontId="36" fillId="2" borderId="61" xfId="2" applyNumberFormat="1" applyFont="1" applyFill="1" applyBorder="1" applyAlignment="1">
      <alignment horizontal="center" vertical="center" wrapText="1"/>
    </xf>
    <xf numFmtId="0" fontId="37" fillId="0" borderId="0" xfId="2" applyNumberFormat="1" applyFont="1" applyBorder="1" applyAlignment="1">
      <alignment vertical="top"/>
    </xf>
    <xf numFmtId="0" fontId="37" fillId="0" borderId="0" xfId="2" applyNumberFormat="1" applyFont="1" applyAlignment="1">
      <alignment vertical="top"/>
    </xf>
    <xf numFmtId="0" fontId="0" fillId="0" borderId="26" xfId="0" applyBorder="1" applyAlignment="1">
      <alignment horizontal="left" vertical="top" wrapText="1"/>
    </xf>
    <xf numFmtId="0" fontId="0" fillId="9" borderId="26" xfId="0" applyFill="1" applyBorder="1" applyAlignment="1">
      <alignment horizontal="left" vertical="top" wrapText="1"/>
    </xf>
    <xf numFmtId="0" fontId="0" fillId="12" borderId="26" xfId="0" applyFill="1" applyBorder="1" applyAlignment="1">
      <alignment horizontal="left" vertical="top" wrapText="1"/>
    </xf>
    <xf numFmtId="0" fontId="0" fillId="0" borderId="25" xfId="0" applyBorder="1" applyAlignment="1">
      <alignment horizontal="left" vertical="top" wrapText="1"/>
    </xf>
    <xf numFmtId="0" fontId="0" fillId="0" borderId="64" xfId="0" applyBorder="1" applyAlignment="1">
      <alignment horizontal="left" vertical="top" wrapText="1"/>
    </xf>
    <xf numFmtId="0" fontId="38" fillId="0" borderId="0" xfId="0" applyFont="1" applyAlignment="1">
      <alignment vertical="top" wrapText="1"/>
    </xf>
    <xf numFmtId="0" fontId="0" fillId="13" borderId="0" xfId="0" applyFill="1" applyAlignment="1">
      <alignment horizontal="left" vertical="top" wrapText="1"/>
    </xf>
    <xf numFmtId="0" fontId="0" fillId="13" borderId="31" xfId="0" applyFill="1" applyBorder="1" applyAlignment="1">
      <alignment horizontal="left" vertical="top" wrapText="1"/>
    </xf>
    <xf numFmtId="2" fontId="4" fillId="6" borderId="4" xfId="0" applyNumberFormat="1" applyFont="1" applyFill="1" applyBorder="1" applyAlignment="1">
      <alignment horizontal="center" vertical="center"/>
    </xf>
    <xf numFmtId="0" fontId="30" fillId="2" borderId="7" xfId="0" applyFont="1" applyFill="1" applyBorder="1" applyAlignment="1">
      <alignment vertical="top"/>
    </xf>
    <xf numFmtId="0" fontId="30" fillId="2" borderId="3" xfId="0" applyFont="1" applyFill="1" applyBorder="1" applyAlignment="1">
      <alignment vertical="top"/>
    </xf>
    <xf numFmtId="0" fontId="30" fillId="2" borderId="8" xfId="0" applyFont="1" applyFill="1" applyBorder="1" applyAlignment="1">
      <alignment vertical="top"/>
    </xf>
    <xf numFmtId="0" fontId="44" fillId="16" borderId="0" xfId="0" applyFont="1" applyFill="1" applyAlignment="1">
      <alignment vertical="center"/>
    </xf>
    <xf numFmtId="0" fontId="45" fillId="14" borderId="0" xfId="0" applyFont="1" applyFill="1" applyAlignment="1">
      <alignment vertical="top" wrapText="1"/>
    </xf>
    <xf numFmtId="0" fontId="42" fillId="14" borderId="0" xfId="0" applyFont="1" applyFill="1" applyAlignment="1">
      <alignment vertical="top" wrapText="1"/>
    </xf>
    <xf numFmtId="0" fontId="45" fillId="17" borderId="0" xfId="0" applyFont="1" applyFill="1" applyAlignment="1">
      <alignment vertical="top" wrapText="1"/>
    </xf>
    <xf numFmtId="0" fontId="42" fillId="17" borderId="0" xfId="0" applyFont="1" applyFill="1" applyAlignment="1">
      <alignment vertical="top" wrapText="1"/>
    </xf>
    <xf numFmtId="0" fontId="46" fillId="14" borderId="0" xfId="0" applyFont="1" applyFill="1" applyAlignment="1">
      <alignment vertical="top" wrapText="1"/>
    </xf>
    <xf numFmtId="0" fontId="46" fillId="17" borderId="0" xfId="0" applyFont="1" applyFill="1" applyAlignment="1">
      <alignment vertical="top" wrapText="1"/>
    </xf>
    <xf numFmtId="0" fontId="47" fillId="14" borderId="0" xfId="0" applyFont="1" applyFill="1" applyAlignment="1">
      <alignment vertical="top" wrapText="1"/>
    </xf>
    <xf numFmtId="0" fontId="47" fillId="17" borderId="0" xfId="0" applyFont="1" applyFill="1" applyAlignment="1">
      <alignment vertical="top" wrapText="1"/>
    </xf>
    <xf numFmtId="0" fontId="0" fillId="9" borderId="37" xfId="0" applyFill="1" applyBorder="1" applyAlignment="1">
      <alignment vertical="center" wrapText="1"/>
    </xf>
    <xf numFmtId="49" fontId="22" fillId="9" borderId="17" xfId="2" applyNumberFormat="1" applyFont="1" applyFill="1" applyBorder="1" applyAlignment="1">
      <alignment horizontal="center" vertical="center" wrapText="1"/>
    </xf>
    <xf numFmtId="49" fontId="22" fillId="7" borderId="17" xfId="2" applyNumberFormat="1" applyFont="1" applyFill="1" applyBorder="1" applyAlignment="1">
      <alignment horizontal="center" vertical="center" wrapText="1"/>
    </xf>
    <xf numFmtId="49" fontId="0" fillId="9" borderId="26" xfId="0" applyNumberFormat="1" applyFill="1" applyBorder="1" applyAlignment="1">
      <alignment horizontal="center" vertical="top"/>
    </xf>
    <xf numFmtId="49" fontId="0" fillId="0" borderId="26" xfId="0" applyNumberFormat="1" applyBorder="1" applyAlignment="1">
      <alignment horizontal="center" vertical="top"/>
    </xf>
    <xf numFmtId="49" fontId="0" fillId="0" borderId="21" xfId="0" applyNumberFormat="1" applyBorder="1" applyAlignment="1">
      <alignment horizontal="center" vertical="top" wrapText="1"/>
    </xf>
    <xf numFmtId="49" fontId="0" fillId="0" borderId="25" xfId="0" applyNumberFormat="1" applyBorder="1" applyAlignment="1">
      <alignment horizontal="center" vertical="top"/>
    </xf>
    <xf numFmtId="0" fontId="48" fillId="0" borderId="0" xfId="3" applyAlignment="1">
      <alignment vertical="top" wrapText="1"/>
    </xf>
    <xf numFmtId="0" fontId="48" fillId="19" borderId="0" xfId="3" applyFill="1" applyAlignment="1">
      <alignment vertical="top" wrapText="1"/>
    </xf>
    <xf numFmtId="0" fontId="48" fillId="19" borderId="0" xfId="3" applyFill="1" applyAlignment="1">
      <alignment horizontal="center" vertical="top" wrapText="1"/>
    </xf>
    <xf numFmtId="0" fontId="48" fillId="19" borderId="3" xfId="3" applyFill="1" applyBorder="1" applyAlignment="1">
      <alignment vertical="top" wrapText="1"/>
    </xf>
    <xf numFmtId="0" fontId="48" fillId="19" borderId="3" xfId="3" applyFill="1" applyBorder="1" applyAlignment="1">
      <alignment horizontal="center" vertical="top" wrapText="1"/>
    </xf>
    <xf numFmtId="0" fontId="52" fillId="18" borderId="54" xfId="3" applyFont="1" applyFill="1" applyBorder="1" applyAlignment="1">
      <alignment vertical="top" wrapText="1"/>
    </xf>
    <xf numFmtId="0" fontId="52" fillId="18" borderId="0" xfId="3" applyFont="1" applyFill="1" applyAlignment="1">
      <alignment horizontal="center" vertical="top" wrapText="1"/>
    </xf>
    <xf numFmtId="0" fontId="52" fillId="18" borderId="0" xfId="3" applyFont="1" applyFill="1" applyAlignment="1">
      <alignment vertical="top" wrapText="1"/>
    </xf>
    <xf numFmtId="0" fontId="52" fillId="18" borderId="55" xfId="3" applyFont="1" applyFill="1" applyBorder="1" applyAlignment="1">
      <alignment vertical="top" wrapText="1"/>
    </xf>
    <xf numFmtId="0" fontId="53" fillId="21" borderId="7" xfId="3" applyFont="1" applyFill="1" applyBorder="1" applyAlignment="1">
      <alignment vertical="top" wrapText="1"/>
    </xf>
    <xf numFmtId="0" fontId="54" fillId="21" borderId="3" xfId="3" applyFont="1" applyFill="1" applyBorder="1" applyAlignment="1">
      <alignment horizontal="center" vertical="top" wrapText="1"/>
    </xf>
    <xf numFmtId="0" fontId="51" fillId="21" borderId="3" xfId="3" applyFont="1" applyFill="1" applyBorder="1" applyAlignment="1">
      <alignment vertical="top" wrapText="1"/>
    </xf>
    <xf numFmtId="0" fontId="55" fillId="21" borderId="8" xfId="3" applyFont="1" applyFill="1" applyBorder="1" applyAlignment="1">
      <alignment vertical="top" wrapText="1"/>
    </xf>
    <xf numFmtId="0" fontId="56" fillId="22" borderId="9" xfId="3" applyFont="1" applyFill="1" applyBorder="1" applyAlignment="1">
      <alignment vertical="top" wrapText="1"/>
    </xf>
    <xf numFmtId="0" fontId="57" fillId="22" borderId="2" xfId="3" applyFont="1" applyFill="1" applyBorder="1" applyAlignment="1">
      <alignment horizontal="center" vertical="top" wrapText="1"/>
    </xf>
    <xf numFmtId="0" fontId="51" fillId="22" borderId="2" xfId="3" applyFont="1" applyFill="1" applyBorder="1" applyAlignment="1">
      <alignment vertical="top" wrapText="1"/>
    </xf>
    <xf numFmtId="0" fontId="55" fillId="22" borderId="10" xfId="3" applyFont="1" applyFill="1" applyBorder="1" applyAlignment="1">
      <alignment vertical="top" wrapText="1"/>
    </xf>
    <xf numFmtId="0" fontId="58" fillId="23" borderId="9" xfId="3" applyFont="1" applyFill="1" applyBorder="1" applyAlignment="1">
      <alignment vertical="top" wrapText="1"/>
    </xf>
    <xf numFmtId="0" fontId="59" fillId="23" borderId="2" xfId="3" applyFont="1" applyFill="1" applyBorder="1" applyAlignment="1">
      <alignment horizontal="center" vertical="top" wrapText="1"/>
    </xf>
    <xf numFmtId="0" fontId="51" fillId="23" borderId="2" xfId="3" applyFont="1" applyFill="1" applyBorder="1" applyAlignment="1">
      <alignment vertical="top" wrapText="1"/>
    </xf>
    <xf numFmtId="0" fontId="52" fillId="18" borderId="0" xfId="3" applyFont="1" applyFill="1" applyAlignment="1">
      <alignment horizontal="left" vertical="top" wrapText="1"/>
    </xf>
    <xf numFmtId="0" fontId="55" fillId="24" borderId="0" xfId="3" applyFont="1" applyFill="1" applyAlignment="1">
      <alignment vertical="top" wrapText="1"/>
    </xf>
    <xf numFmtId="0" fontId="51" fillId="24" borderId="0" xfId="3" applyFont="1" applyFill="1" applyAlignment="1">
      <alignment horizontal="left" vertical="top" wrapText="1"/>
    </xf>
    <xf numFmtId="0" fontId="51" fillId="24" borderId="0" xfId="3" applyFont="1" applyFill="1" applyAlignment="1">
      <alignment vertical="top" wrapText="1"/>
    </xf>
    <xf numFmtId="0" fontId="55" fillId="0" borderId="0" xfId="3" applyFont="1" applyAlignment="1">
      <alignment vertical="top" wrapText="1"/>
    </xf>
    <xf numFmtId="0" fontId="51" fillId="0" borderId="0" xfId="3" applyFont="1" applyAlignment="1">
      <alignment horizontal="left" vertical="top" wrapText="1"/>
    </xf>
    <xf numFmtId="0" fontId="51" fillId="0" borderId="0" xfId="3" applyFont="1" applyAlignment="1">
      <alignment vertical="top" wrapText="1"/>
    </xf>
    <xf numFmtId="0" fontId="48" fillId="19" borderId="39" xfId="3" applyFill="1" applyBorder="1" applyAlignment="1">
      <alignment vertical="top" wrapText="1"/>
    </xf>
    <xf numFmtId="0" fontId="48" fillId="19" borderId="39" xfId="3" applyFill="1" applyBorder="1" applyAlignment="1">
      <alignment horizontal="center" vertical="top" wrapText="1"/>
    </xf>
    <xf numFmtId="0" fontId="65" fillId="19" borderId="39" xfId="3" applyFont="1" applyFill="1" applyBorder="1" applyAlignment="1">
      <alignment vertical="top" wrapText="1"/>
    </xf>
    <xf numFmtId="0" fontId="66" fillId="20" borderId="29" xfId="3" applyFont="1" applyFill="1" applyBorder="1" applyAlignment="1">
      <alignment horizontal="left" vertical="top" wrapText="1"/>
    </xf>
    <xf numFmtId="0" fontId="48" fillId="0" borderId="0" xfId="3" applyAlignment="1">
      <alignment horizontal="center" vertical="top" wrapText="1"/>
    </xf>
    <xf numFmtId="0" fontId="66" fillId="0" borderId="0" xfId="3" applyFont="1" applyAlignment="1">
      <alignment wrapText="1"/>
    </xf>
    <xf numFmtId="0" fontId="67" fillId="18" borderId="5" xfId="3" applyFont="1" applyFill="1" applyBorder="1" applyAlignment="1">
      <alignment horizontal="center" vertical="center" wrapText="1"/>
    </xf>
    <xf numFmtId="0" fontId="67" fillId="18" borderId="4" xfId="3" applyFont="1" applyFill="1" applyBorder="1" applyAlignment="1">
      <alignment horizontal="center" vertical="center" wrapText="1"/>
    </xf>
    <xf numFmtId="0" fontId="67" fillId="18" borderId="6" xfId="3" applyFont="1" applyFill="1" applyBorder="1" applyAlignment="1">
      <alignment horizontal="center" vertical="center" wrapText="1"/>
    </xf>
    <xf numFmtId="0" fontId="52" fillId="18" borderId="6" xfId="3" applyFont="1" applyFill="1" applyBorder="1" applyAlignment="1">
      <alignment vertical="top" wrapText="1"/>
    </xf>
    <xf numFmtId="0" fontId="68" fillId="24" borderId="0" xfId="3" applyFont="1" applyFill="1" applyAlignment="1">
      <alignment horizontal="center" vertical="top" wrapText="1"/>
    </xf>
    <xf numFmtId="0" fontId="68" fillId="24" borderId="0" xfId="3" applyFont="1" applyFill="1" applyAlignment="1">
      <alignment horizontal="left" vertical="top" wrapText="1"/>
    </xf>
    <xf numFmtId="0" fontId="68" fillId="0" borderId="0" xfId="3" applyFont="1" applyAlignment="1">
      <alignment horizontal="center" vertical="top" wrapText="1"/>
    </xf>
    <xf numFmtId="0" fontId="68" fillId="0" borderId="0" xfId="3" applyFont="1" applyAlignment="1">
      <alignment horizontal="left" vertical="top" wrapText="1"/>
    </xf>
    <xf numFmtId="0" fontId="66" fillId="24" borderId="0" xfId="3" applyFont="1" applyFill="1" applyAlignment="1">
      <alignment wrapText="1"/>
    </xf>
    <xf numFmtId="0" fontId="52" fillId="18" borderId="5" xfId="3" applyFont="1" applyFill="1" applyBorder="1" applyAlignment="1">
      <alignment vertical="top" wrapText="1"/>
    </xf>
    <xf numFmtId="0" fontId="52" fillId="18" borderId="4" xfId="3" applyFont="1" applyFill="1" applyBorder="1" applyAlignment="1">
      <alignment horizontal="left" vertical="top" wrapText="1"/>
    </xf>
    <xf numFmtId="0" fontId="52" fillId="18" borderId="4" xfId="3" applyFont="1" applyFill="1" applyBorder="1" applyAlignment="1">
      <alignment vertical="top" wrapText="1"/>
    </xf>
    <xf numFmtId="0" fontId="48" fillId="19" borderId="30" xfId="3" applyFill="1" applyBorder="1" applyAlignment="1">
      <alignment vertical="top" wrapText="1"/>
    </xf>
    <xf numFmtId="0" fontId="48" fillId="19" borderId="30" xfId="3" applyFill="1" applyBorder="1" applyAlignment="1">
      <alignment horizontal="center" vertical="top" wrapText="1"/>
    </xf>
    <xf numFmtId="0" fontId="48" fillId="19" borderId="0" xfId="3" applyFill="1" applyAlignment="1">
      <alignment vertical="top"/>
    </xf>
    <xf numFmtId="0" fontId="48" fillId="19" borderId="0" xfId="3" applyFill="1" applyAlignment="1">
      <alignment horizontal="center" vertical="top"/>
    </xf>
    <xf numFmtId="0" fontId="48" fillId="19" borderId="3" xfId="3" applyFill="1" applyBorder="1" applyAlignment="1">
      <alignment vertical="top"/>
    </xf>
    <xf numFmtId="0" fontId="48" fillId="19" borderId="3" xfId="3" applyFill="1" applyBorder="1" applyAlignment="1">
      <alignment horizontal="center" vertical="top"/>
    </xf>
    <xf numFmtId="0" fontId="48" fillId="19" borderId="57" xfId="3" applyFill="1" applyBorder="1" applyAlignment="1">
      <alignment vertical="top"/>
    </xf>
    <xf numFmtId="0" fontId="48" fillId="19" borderId="57" xfId="3" applyFill="1" applyBorder="1" applyAlignment="1">
      <alignment horizontal="center" vertical="top"/>
    </xf>
    <xf numFmtId="0" fontId="48" fillId="19" borderId="57" xfId="3" applyFill="1" applyBorder="1" applyAlignment="1">
      <alignment vertical="top" wrapText="1"/>
    </xf>
    <xf numFmtId="0" fontId="48" fillId="19" borderId="58" xfId="3" applyFill="1" applyBorder="1" applyAlignment="1">
      <alignment vertical="top"/>
    </xf>
    <xf numFmtId="0" fontId="48" fillId="19" borderId="58" xfId="3" applyFill="1" applyBorder="1" applyAlignment="1">
      <alignment vertical="top" wrapText="1"/>
    </xf>
    <xf numFmtId="0" fontId="48" fillId="19" borderId="33" xfId="3" applyFill="1" applyBorder="1" applyAlignment="1">
      <alignment vertical="top"/>
    </xf>
    <xf numFmtId="0" fontId="48" fillId="19" borderId="33" xfId="3" applyFill="1" applyBorder="1" applyAlignment="1">
      <alignment vertical="top" wrapText="1"/>
    </xf>
    <xf numFmtId="0" fontId="51" fillId="19" borderId="0" xfId="3" applyFont="1" applyFill="1" applyAlignment="1">
      <alignment vertical="top"/>
    </xf>
    <xf numFmtId="49" fontId="3" fillId="28" borderId="67" xfId="0" applyNumberFormat="1" applyFont="1" applyFill="1" applyBorder="1" applyAlignment="1">
      <alignment horizontal="center" vertical="top" wrapText="1"/>
    </xf>
    <xf numFmtId="0" fontId="80" fillId="23" borderId="2" xfId="3" applyFont="1" applyFill="1" applyBorder="1" applyAlignment="1">
      <alignment vertical="top" wrapText="1"/>
    </xf>
    <xf numFmtId="0" fontId="0" fillId="12" borderId="24" xfId="0" applyFill="1" applyBorder="1" applyAlignment="1">
      <alignment horizontal="left" vertical="top" wrapText="1"/>
    </xf>
    <xf numFmtId="0" fontId="0" fillId="12" borderId="68" xfId="0" applyFill="1" applyBorder="1" applyAlignment="1">
      <alignment horizontal="left" vertical="top" wrapText="1"/>
    </xf>
    <xf numFmtId="0" fontId="4" fillId="0" borderId="0" xfId="0" applyFont="1"/>
    <xf numFmtId="0" fontId="43" fillId="15" borderId="0" xfId="0" applyFont="1" applyFill="1" applyAlignment="1">
      <alignment vertical="center"/>
    </xf>
    <xf numFmtId="0" fontId="0" fillId="0" borderId="0" xfId="0"/>
    <xf numFmtId="0" fontId="42" fillId="14" borderId="0" xfId="0" applyFont="1" applyFill="1" applyAlignment="1">
      <alignment vertical="top" wrapText="1"/>
    </xf>
    <xf numFmtId="0" fontId="39" fillId="15" borderId="0" xfId="0" applyFont="1" applyFill="1" applyAlignment="1">
      <alignment vertical="center"/>
    </xf>
    <xf numFmtId="0" fontId="40" fillId="15" borderId="0" xfId="0" applyFont="1" applyFill="1" applyAlignment="1">
      <alignment vertical="center"/>
    </xf>
    <xf numFmtId="0" fontId="41" fillId="16" borderId="0" xfId="0" applyFont="1" applyFill="1" applyAlignment="1">
      <alignment vertical="center"/>
    </xf>
    <xf numFmtId="0" fontId="0" fillId="17" borderId="0" xfId="0" applyFill="1"/>
    <xf numFmtId="0" fontId="42" fillId="14" borderId="0" xfId="0" applyFont="1" applyFill="1" applyAlignment="1">
      <alignment wrapText="1"/>
    </xf>
    <xf numFmtId="0" fontId="30" fillId="2" borderId="0" xfId="0" applyFont="1" applyFill="1" applyAlignment="1">
      <alignment vertical="center" indent="1"/>
    </xf>
    <xf numFmtId="0" fontId="30" fillId="2" borderId="0" xfId="0" applyFont="1" applyFill="1" applyAlignment="1">
      <alignment vertical="center"/>
    </xf>
    <xf numFmtId="0" fontId="14" fillId="8" borderId="0" xfId="0" applyFont="1" applyFill="1" applyAlignment="1">
      <alignment vertical="center" wrapText="1" indent="1"/>
    </xf>
    <xf numFmtId="0" fontId="14" fillId="8" borderId="0" xfId="0" applyFont="1" applyFill="1" applyAlignment="1">
      <alignment vertical="center" wrapText="1"/>
    </xf>
    <xf numFmtId="0" fontId="30" fillId="2" borderId="0" xfId="0" applyFont="1" applyFill="1" applyAlignment="1">
      <alignment horizontal="left" vertical="center" wrapText="1" indent="1"/>
    </xf>
    <xf numFmtId="0" fontId="30" fillId="2" borderId="0" xfId="0" applyFont="1" applyFill="1" applyAlignment="1">
      <alignment horizontal="left" vertical="center" wrapText="1"/>
    </xf>
    <xf numFmtId="0" fontId="16" fillId="0" borderId="0" xfId="0" applyFont="1" applyAlignment="1">
      <alignment vertical="top" wrapText="1" indent="1"/>
    </xf>
    <xf numFmtId="0" fontId="16" fillId="0" borderId="0" xfId="0" applyFont="1" applyAlignment="1">
      <alignment vertical="top" wrapText="1"/>
    </xf>
    <xf numFmtId="0" fontId="31" fillId="0" borderId="0" xfId="1" applyFont="1" applyAlignment="1">
      <alignment vertical="center" wrapText="1" indent="1"/>
    </xf>
    <xf numFmtId="0" fontId="31" fillId="0" borderId="0" xfId="1" applyFont="1" applyAlignment="1">
      <alignment vertical="center" wrapText="1"/>
    </xf>
    <xf numFmtId="0" fontId="11" fillId="0" borderId="0" xfId="1" applyAlignment="1">
      <alignment vertical="center" wrapText="1" indent="1"/>
    </xf>
    <xf numFmtId="0" fontId="11" fillId="0" borderId="0" xfId="1" applyAlignment="1">
      <alignment vertical="center" wrapText="1"/>
    </xf>
    <xf numFmtId="0" fontId="17" fillId="13" borderId="0" xfId="0" applyFont="1" applyFill="1" applyAlignment="1">
      <alignment vertical="center" wrapText="1" indent="1"/>
    </xf>
    <xf numFmtId="0" fontId="17" fillId="13" borderId="0" xfId="0" applyFont="1" applyFill="1" applyAlignment="1">
      <alignment vertical="center" wrapText="1"/>
    </xf>
    <xf numFmtId="0" fontId="14" fillId="8" borderId="0" xfId="0" applyFont="1" applyFill="1" applyAlignment="1">
      <alignment horizontal="left" vertical="center" wrapText="1"/>
    </xf>
    <xf numFmtId="0" fontId="19" fillId="10" borderId="40" xfId="0" applyFont="1" applyFill="1" applyBorder="1" applyAlignment="1">
      <alignment vertical="center" wrapText="1" indent="1"/>
    </xf>
    <xf numFmtId="0" fontId="19" fillId="10" borderId="0" xfId="0" applyFont="1" applyFill="1" applyAlignment="1">
      <alignment vertical="center" wrapText="1"/>
    </xf>
    <xf numFmtId="0" fontId="19" fillId="10" borderId="41" xfId="0" applyFont="1" applyFill="1" applyBorder="1" applyAlignment="1">
      <alignment vertical="center" wrapText="1"/>
    </xf>
    <xf numFmtId="0" fontId="20" fillId="10" borderId="40" xfId="0" applyFont="1" applyFill="1" applyBorder="1" applyAlignment="1">
      <alignment vertical="top" wrapText="1" indent="1"/>
    </xf>
    <xf numFmtId="0" fontId="20" fillId="10" borderId="0" xfId="0" applyFont="1" applyFill="1" applyAlignment="1">
      <alignment vertical="top" wrapText="1"/>
    </xf>
    <xf numFmtId="0" fontId="20" fillId="10" borderId="41" xfId="0" applyFont="1" applyFill="1" applyBorder="1" applyAlignment="1">
      <alignment vertical="top" wrapText="1"/>
    </xf>
    <xf numFmtId="0" fontId="18" fillId="11" borderId="43" xfId="0" applyFont="1" applyFill="1" applyBorder="1" applyAlignment="1">
      <alignment vertical="top" wrapText="1"/>
    </xf>
    <xf numFmtId="0" fontId="18" fillId="11" borderId="0" xfId="0" applyFont="1" applyFill="1" applyAlignment="1">
      <alignment vertical="top" wrapText="1"/>
    </xf>
    <xf numFmtId="0" fontId="18" fillId="11" borderId="44" xfId="0" applyFont="1" applyFill="1" applyBorder="1" applyAlignment="1">
      <alignment vertical="top" wrapText="1"/>
    </xf>
    <xf numFmtId="0" fontId="20" fillId="0" borderId="0" xfId="0" applyFont="1" applyAlignment="1">
      <alignment vertical="top" wrapText="1"/>
    </xf>
    <xf numFmtId="0" fontId="18" fillId="9" borderId="0" xfId="0" applyFont="1" applyFill="1" applyAlignment="1">
      <alignment horizontal="left" vertical="center" wrapText="1"/>
    </xf>
    <xf numFmtId="0" fontId="18" fillId="13" borderId="0" xfId="0" applyFont="1" applyFill="1" applyAlignment="1">
      <alignment horizontal="left" vertical="center" wrapText="1"/>
    </xf>
    <xf numFmtId="0" fontId="21" fillId="5" borderId="45" xfId="0" applyFont="1" applyFill="1" applyBorder="1" applyAlignment="1">
      <alignment horizontal="left" vertical="center" wrapText="1"/>
    </xf>
    <xf numFmtId="0" fontId="21" fillId="5" borderId="0" xfId="0" applyFont="1" applyFill="1" applyAlignment="1">
      <alignment horizontal="left" vertical="center" wrapText="1"/>
    </xf>
    <xf numFmtId="0" fontId="21" fillId="5" borderId="46" xfId="0" applyFont="1" applyFill="1" applyBorder="1" applyAlignment="1">
      <alignment horizontal="left" vertical="center" wrapText="1"/>
    </xf>
    <xf numFmtId="0" fontId="16" fillId="5" borderId="45" xfId="0" applyFont="1" applyFill="1" applyBorder="1" applyAlignment="1">
      <alignment horizontal="left" vertical="top" wrapText="1"/>
    </xf>
    <xf numFmtId="0" fontId="16" fillId="5" borderId="0" xfId="0" applyFont="1" applyFill="1" applyAlignment="1">
      <alignment horizontal="left" vertical="top" wrapText="1"/>
    </xf>
    <xf numFmtId="0" fontId="16" fillId="5" borderId="46" xfId="0" applyFont="1" applyFill="1" applyBorder="1" applyAlignment="1">
      <alignment horizontal="left" vertical="top" wrapText="1"/>
    </xf>
    <xf numFmtId="0" fontId="16" fillId="12" borderId="0" xfId="0" applyFont="1" applyFill="1" applyAlignment="1">
      <alignment horizontal="left" vertical="top" wrapText="1"/>
    </xf>
    <xf numFmtId="0" fontId="20" fillId="0" borderId="0" xfId="0" applyFont="1" applyAlignment="1">
      <alignment vertical="center" wrapText="1" indent="1"/>
    </xf>
    <xf numFmtId="0" fontId="20" fillId="0" borderId="0" xfId="0" applyFont="1" applyAlignment="1">
      <alignment vertical="center" wrapText="1"/>
    </xf>
    <xf numFmtId="0" fontId="27" fillId="8" borderId="3" xfId="0" applyFont="1" applyFill="1" applyBorder="1" applyAlignment="1">
      <alignment horizontal="left" vertical="center" wrapText="1"/>
    </xf>
    <xf numFmtId="0" fontId="27" fillId="8" borderId="0" xfId="0" applyFont="1" applyFill="1" applyAlignment="1">
      <alignment horizontal="left" vertical="center" wrapText="1"/>
    </xf>
    <xf numFmtId="0" fontId="35" fillId="8" borderId="0" xfId="0" applyFont="1" applyFill="1" applyAlignment="1">
      <alignment horizontal="left" vertical="center" wrapText="1"/>
    </xf>
    <xf numFmtId="0" fontId="18" fillId="10" borderId="40" xfId="0" applyFont="1" applyFill="1" applyBorder="1" applyAlignment="1">
      <alignment horizontal="left" vertical="top" wrapText="1"/>
    </xf>
    <xf numFmtId="0" fontId="18" fillId="10" borderId="0" xfId="0" applyFont="1" applyFill="1" applyAlignment="1">
      <alignment horizontal="left" vertical="top" wrapText="1"/>
    </xf>
    <xf numFmtId="0" fontId="18" fillId="10" borderId="41" xfId="0" applyFont="1" applyFill="1" applyBorder="1" applyAlignment="1">
      <alignment horizontal="left" vertical="top" wrapText="1"/>
    </xf>
    <xf numFmtId="0" fontId="18" fillId="0" borderId="0" xfId="0" applyFont="1" applyAlignment="1">
      <alignment horizontal="left" vertical="center" wrapText="1"/>
    </xf>
    <xf numFmtId="0" fontId="16" fillId="9" borderId="0" xfId="0" applyFont="1" applyFill="1" applyAlignment="1">
      <alignment horizontal="left" vertical="center" wrapText="1"/>
    </xf>
    <xf numFmtId="0" fontId="16" fillId="13" borderId="0" xfId="0" applyFont="1" applyFill="1" applyAlignment="1">
      <alignment horizontal="left" vertical="center" wrapText="1"/>
    </xf>
    <xf numFmtId="0" fontId="31" fillId="0" borderId="0" xfId="1" applyFont="1" applyAlignment="1">
      <alignment horizontal="left" vertical="center" wrapText="1"/>
    </xf>
    <xf numFmtId="0" fontId="79" fillId="20" borderId="0" xfId="3" applyFont="1" applyFill="1" applyAlignment="1">
      <alignment vertical="center" wrapText="1" indent="1"/>
    </xf>
    <xf numFmtId="0" fontId="51" fillId="23" borderId="0" xfId="3" applyFont="1" applyFill="1" applyAlignment="1">
      <alignment vertical="center" wrapText="1"/>
    </xf>
    <xf numFmtId="0" fontId="69" fillId="26" borderId="56" xfId="3" applyFont="1" applyFill="1" applyBorder="1" applyAlignment="1">
      <alignment vertical="top" wrapText="1"/>
    </xf>
    <xf numFmtId="0" fontId="76" fillId="23" borderId="0" xfId="3" applyFont="1" applyFill="1" applyAlignment="1">
      <alignment horizontal="center" vertical="center"/>
    </xf>
    <xf numFmtId="0" fontId="77" fillId="20" borderId="0" xfId="3" applyFont="1" applyFill="1" applyAlignment="1">
      <alignment vertical="center" wrapText="1"/>
    </xf>
    <xf numFmtId="0" fontId="78" fillId="20" borderId="0" xfId="3" applyFont="1" applyFill="1" applyAlignment="1">
      <alignment vertical="center" wrapText="1" indent="1"/>
    </xf>
    <xf numFmtId="0" fontId="74" fillId="22" borderId="0" xfId="3" applyFont="1" applyFill="1" applyAlignment="1">
      <alignment horizontal="center" vertical="center"/>
    </xf>
    <xf numFmtId="0" fontId="75" fillId="23" borderId="0" xfId="3" applyFont="1" applyFill="1" applyAlignment="1">
      <alignment vertical="center"/>
    </xf>
    <xf numFmtId="0" fontId="71" fillId="0" borderId="0" xfId="3" applyFont="1" applyAlignment="1">
      <alignment vertical="center"/>
    </xf>
    <xf numFmtId="0" fontId="55" fillId="0" borderId="0" xfId="3" applyFont="1" applyAlignment="1">
      <alignment vertical="top"/>
    </xf>
    <xf numFmtId="0" fontId="51" fillId="24" borderId="0" xfId="3" applyFont="1" applyFill="1" applyAlignment="1">
      <alignment vertical="center" wrapText="1"/>
    </xf>
    <xf numFmtId="0" fontId="51" fillId="27" borderId="0" xfId="3" applyFont="1" applyFill="1" applyAlignment="1">
      <alignment vertical="center" wrapText="1"/>
    </xf>
    <xf numFmtId="0" fontId="72" fillId="21" borderId="0" xfId="3" applyFont="1" applyFill="1" applyAlignment="1">
      <alignment horizontal="center" vertical="center"/>
    </xf>
    <xf numFmtId="0" fontId="73" fillId="22" borderId="0" xfId="3" applyFont="1" applyFill="1" applyAlignment="1">
      <alignment vertical="center"/>
    </xf>
    <xf numFmtId="0" fontId="55" fillId="0" borderId="0" xfId="3" applyFont="1" applyAlignment="1">
      <alignment vertical="center"/>
    </xf>
    <xf numFmtId="0" fontId="51" fillId="19" borderId="0" xfId="3" applyFont="1" applyFill="1" applyAlignment="1">
      <alignment vertical="center" wrapText="1"/>
    </xf>
    <xf numFmtId="0" fontId="50" fillId="20" borderId="0" xfId="3" applyFont="1" applyFill="1" applyAlignment="1">
      <alignment vertical="center" indent="1"/>
    </xf>
    <xf numFmtId="0" fontId="70" fillId="21" borderId="0" xfId="3" applyFont="1" applyFill="1" applyAlignment="1">
      <alignment vertical="center" indent="1"/>
    </xf>
    <xf numFmtId="0" fontId="55" fillId="24" borderId="0" xfId="3" applyFont="1" applyFill="1" applyAlignment="1">
      <alignment vertical="center" wrapText="1"/>
    </xf>
    <xf numFmtId="0" fontId="61" fillId="25" borderId="65" xfId="3" applyFont="1" applyFill="1" applyBorder="1" applyAlignment="1">
      <alignment vertical="center"/>
    </xf>
    <xf numFmtId="0" fontId="63" fillId="25" borderId="65" xfId="3" applyFont="1" applyFill="1" applyBorder="1" applyAlignment="1">
      <alignment vertical="center"/>
    </xf>
    <xf numFmtId="0" fontId="64" fillId="25" borderId="65" xfId="3" applyFont="1" applyFill="1" applyBorder="1" applyAlignment="1">
      <alignment vertical="center"/>
    </xf>
    <xf numFmtId="0" fontId="50" fillId="20" borderId="29" xfId="3" applyFont="1" applyFill="1" applyBorder="1" applyAlignment="1">
      <alignment vertical="center" wrapText="1" indent="1"/>
    </xf>
    <xf numFmtId="0" fontId="69" fillId="0" borderId="0" xfId="3" applyFont="1" applyAlignment="1">
      <alignment vertical="center" wrapText="1"/>
    </xf>
    <xf numFmtId="0" fontId="50" fillId="20" borderId="0" xfId="3" applyFont="1" applyFill="1" applyAlignment="1">
      <alignment vertical="center" wrapText="1" indent="1"/>
    </xf>
    <xf numFmtId="0" fontId="55" fillId="26" borderId="66" xfId="3" applyFont="1" applyFill="1" applyBorder="1" applyAlignment="1">
      <alignment vertical="center" wrapText="1" indent="1"/>
    </xf>
    <xf numFmtId="0" fontId="60" fillId="0" borderId="0" xfId="3" applyFont="1" applyAlignment="1">
      <alignment vertical="center" wrapText="1" indent="1"/>
    </xf>
    <xf numFmtId="0" fontId="55" fillId="19" borderId="0" xfId="3" applyFont="1" applyFill="1" applyAlignment="1">
      <alignment vertical="center" wrapText="1"/>
    </xf>
    <xf numFmtId="0" fontId="62" fillId="25" borderId="65" xfId="3" applyFont="1" applyFill="1" applyBorder="1" applyAlignment="1">
      <alignment vertical="center"/>
    </xf>
    <xf numFmtId="0" fontId="49" fillId="18" borderId="0" xfId="3" applyFont="1" applyFill="1" applyAlignment="1">
      <alignment horizontal="left" vertical="center" wrapText="1" indent="1"/>
    </xf>
    <xf numFmtId="0" fontId="51" fillId="0" borderId="0" xfId="3" applyFont="1" applyAlignment="1">
      <alignment vertical="center" wrapText="1" indent="1"/>
    </xf>
    <xf numFmtId="0" fontId="32" fillId="2" borderId="62" xfId="2" applyFont="1" applyFill="1" applyBorder="1" applyAlignment="1">
      <alignment horizontal="left" vertical="center" indent="1"/>
    </xf>
    <xf numFmtId="0" fontId="32" fillId="2" borderId="63" xfId="2" applyFont="1" applyFill="1" applyBorder="1" applyAlignment="1">
      <alignment horizontal="left" vertical="center"/>
    </xf>
  </cellXfs>
  <cellStyles count="4">
    <cellStyle name="Hyperlink" xfId="1" builtinId="8"/>
    <cellStyle name="Normal" xfId="0" builtinId="0"/>
    <cellStyle name="Normal 2" xfId="2" xr:uid="{308AD68B-7CF1-4543-82CC-05C152874E6D}"/>
    <cellStyle name="Normal 3" xfId="3" xr:uid="{49D19B68-F3E7-474D-92DD-439E6ECE3BD4}"/>
  </cellStyles>
  <dxfs count="0"/>
  <tableStyles count="0" defaultTableStyle="TableStyleMedium2" defaultPivotStyle="PivotStyleLight16"/>
  <colors>
    <mruColors>
      <color rgb="FFC6EFCE"/>
      <color rgb="FFFFC7CE"/>
      <color rgb="FFFFEB9C"/>
      <color rgb="FF4472C4"/>
      <color rgb="FF006100"/>
      <color rgb="FF9C5700"/>
      <color rgb="FFED7D31"/>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Implementation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Summary!$B$3</c:f>
              <c:strCache>
                <c:ptCount val="1"/>
                <c:pt idx="0">
                  <c:v>Count</c:v>
                </c:pt>
              </c:strCache>
            </c:strRef>
          </c:tx>
          <c:dPt>
            <c:idx val="0"/>
            <c:bubble3D val="0"/>
            <c:spPr>
              <a:solidFill>
                <a:srgbClr val="C6EFCE"/>
              </a:solidFill>
              <a:ln w="19050">
                <a:solidFill>
                  <a:schemeClr val="lt1"/>
                </a:solidFill>
              </a:ln>
              <a:effectLst/>
            </c:spPr>
            <c:extLst>
              <c:ext xmlns:c16="http://schemas.microsoft.com/office/drawing/2014/chart" uri="{C3380CC4-5D6E-409C-BE32-E72D297353CC}">
                <c16:uniqueId val="{00000001-65B7-1744-8238-4E58CF209574}"/>
              </c:ext>
            </c:extLst>
          </c:dPt>
          <c:dPt>
            <c:idx val="1"/>
            <c:bubble3D val="0"/>
            <c:spPr>
              <a:solidFill>
                <a:srgbClr val="FFEB9C"/>
              </a:solidFill>
              <a:ln w="19050">
                <a:solidFill>
                  <a:schemeClr val="lt1"/>
                </a:solidFill>
              </a:ln>
              <a:effectLst/>
            </c:spPr>
            <c:extLst>
              <c:ext xmlns:c16="http://schemas.microsoft.com/office/drawing/2014/chart" uri="{C3380CC4-5D6E-409C-BE32-E72D297353CC}">
                <c16:uniqueId val="{00000003-65B7-1744-8238-4E58CF209574}"/>
              </c:ext>
            </c:extLst>
          </c:dPt>
          <c:dPt>
            <c:idx val="2"/>
            <c:bubble3D val="0"/>
            <c:spPr>
              <a:solidFill>
                <a:srgbClr val="FFC7CE"/>
              </a:solidFill>
              <a:ln w="19050">
                <a:solidFill>
                  <a:schemeClr val="lt1"/>
                </a:solidFill>
              </a:ln>
              <a:effectLst/>
            </c:spPr>
            <c:extLst>
              <c:ext xmlns:c16="http://schemas.microsoft.com/office/drawing/2014/chart" uri="{C3380CC4-5D6E-409C-BE32-E72D297353CC}">
                <c16:uniqueId val="{00000005-65B7-1744-8238-4E58CF209574}"/>
              </c:ext>
            </c:extLst>
          </c:dPt>
          <c:cat>
            <c:strRef>
              <c:f>Summary!$A$4:$A$6</c:f>
              <c:strCache>
                <c:ptCount val="3"/>
                <c:pt idx="0">
                  <c:v>✓ Fully Implemented</c:v>
                </c:pt>
                <c:pt idx="1">
                  <c:v>◐ Partially Implemented</c:v>
                </c:pt>
                <c:pt idx="2">
                  <c:v>✗ Not Documented</c:v>
                </c:pt>
              </c:strCache>
            </c:strRef>
          </c:cat>
          <c:val>
            <c:numRef>
              <c:f>Summary!$B$4:$B$6</c:f>
              <c:numCache>
                <c:formatCode>General</c:formatCode>
                <c:ptCount val="3"/>
                <c:pt idx="0">
                  <c:v>3</c:v>
                </c:pt>
                <c:pt idx="1">
                  <c:v>13</c:v>
                </c:pt>
                <c:pt idx="2">
                  <c:v>3</c:v>
                </c:pt>
              </c:numCache>
            </c:numRef>
          </c:val>
          <c:extLst>
            <c:ext xmlns:c16="http://schemas.microsoft.com/office/drawing/2014/chart" uri="{C3380CC4-5D6E-409C-BE32-E72D297353CC}">
              <c16:uniqueId val="{00000000-54B7-1542-A16C-062F9D0572C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Status by Objective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Summary!$B$9</c:f>
              <c:strCache>
                <c:ptCount val="1"/>
                <c:pt idx="0">
                  <c:v>Fully Implemented</c:v>
                </c:pt>
              </c:strCache>
            </c:strRef>
          </c:tx>
          <c:spPr>
            <a:solidFill>
              <a:srgbClr val="C6EFCE"/>
            </a:solidFill>
            <a:ln>
              <a:noFill/>
            </a:ln>
            <a:effectLst/>
          </c:spPr>
          <c:invertIfNegative val="0"/>
          <c:cat>
            <c:strRef>
              <c:f>Summary!$A$10:$A$16</c:f>
              <c:strCache>
                <c:ptCount val="7"/>
                <c:pt idx="0">
                  <c:v>Enhanced AEFI Reporting</c:v>
                </c:pt>
                <c:pt idx="1">
                  <c:v>Signal Detection &amp; Investigation </c:v>
                </c:pt>
                <c:pt idx="2">
                  <c:v>Regulatory Actions </c:v>
                </c:pt>
                <c:pt idx="3">
                  <c:v>Communications</c:v>
                </c:pt>
                <c:pt idx="4">
                  <c:v>National Collaborations</c:v>
                </c:pt>
                <c:pt idx="5">
                  <c:v>International Collaborations</c:v>
                </c:pt>
                <c:pt idx="6">
                  <c:v>Governance</c:v>
                </c:pt>
              </c:strCache>
            </c:strRef>
          </c:cat>
          <c:val>
            <c:numRef>
              <c:f>Summary!$B$10:$B$16</c:f>
              <c:numCache>
                <c:formatCode>General</c:formatCode>
                <c:ptCount val="7"/>
                <c:pt idx="0">
                  <c:v>2</c:v>
                </c:pt>
                <c:pt idx="1">
                  <c:v>0</c:v>
                </c:pt>
                <c:pt idx="2">
                  <c:v>0</c:v>
                </c:pt>
                <c:pt idx="3">
                  <c:v>1</c:v>
                </c:pt>
                <c:pt idx="4">
                  <c:v>0</c:v>
                </c:pt>
                <c:pt idx="5">
                  <c:v>0</c:v>
                </c:pt>
                <c:pt idx="6">
                  <c:v>0</c:v>
                </c:pt>
              </c:numCache>
            </c:numRef>
          </c:val>
          <c:extLst>
            <c:ext xmlns:c16="http://schemas.microsoft.com/office/drawing/2014/chart" uri="{C3380CC4-5D6E-409C-BE32-E72D297353CC}">
              <c16:uniqueId val="{00000000-B62B-E446-B47A-421F8EDAF959}"/>
            </c:ext>
          </c:extLst>
        </c:ser>
        <c:ser>
          <c:idx val="1"/>
          <c:order val="1"/>
          <c:tx>
            <c:strRef>
              <c:f>Summary!$C$9</c:f>
              <c:strCache>
                <c:ptCount val="1"/>
                <c:pt idx="0">
                  <c:v>Partially Implemented</c:v>
                </c:pt>
              </c:strCache>
            </c:strRef>
          </c:tx>
          <c:spPr>
            <a:solidFill>
              <a:srgbClr val="FFEB9C"/>
            </a:solidFill>
            <a:ln>
              <a:noFill/>
            </a:ln>
            <a:effectLst/>
          </c:spPr>
          <c:invertIfNegative val="0"/>
          <c:cat>
            <c:strRef>
              <c:f>Summary!$A$10:$A$16</c:f>
              <c:strCache>
                <c:ptCount val="7"/>
                <c:pt idx="0">
                  <c:v>Enhanced AEFI Reporting</c:v>
                </c:pt>
                <c:pt idx="1">
                  <c:v>Signal Detection &amp; Investigation </c:v>
                </c:pt>
                <c:pt idx="2">
                  <c:v>Regulatory Actions </c:v>
                </c:pt>
                <c:pt idx="3">
                  <c:v>Communications</c:v>
                </c:pt>
                <c:pt idx="4">
                  <c:v>National Collaborations</c:v>
                </c:pt>
                <c:pt idx="5">
                  <c:v>International Collaborations</c:v>
                </c:pt>
                <c:pt idx="6">
                  <c:v>Governance</c:v>
                </c:pt>
              </c:strCache>
            </c:strRef>
          </c:cat>
          <c:val>
            <c:numRef>
              <c:f>Summary!$C$10:$C$16</c:f>
              <c:numCache>
                <c:formatCode>General</c:formatCode>
                <c:ptCount val="7"/>
                <c:pt idx="0">
                  <c:v>3</c:v>
                </c:pt>
                <c:pt idx="1">
                  <c:v>7</c:v>
                </c:pt>
                <c:pt idx="2">
                  <c:v>1</c:v>
                </c:pt>
                <c:pt idx="3">
                  <c:v>0</c:v>
                </c:pt>
                <c:pt idx="4">
                  <c:v>1</c:v>
                </c:pt>
                <c:pt idx="5">
                  <c:v>1</c:v>
                </c:pt>
                <c:pt idx="6">
                  <c:v>0</c:v>
                </c:pt>
              </c:numCache>
            </c:numRef>
          </c:val>
          <c:extLst>
            <c:ext xmlns:c16="http://schemas.microsoft.com/office/drawing/2014/chart" uri="{C3380CC4-5D6E-409C-BE32-E72D297353CC}">
              <c16:uniqueId val="{00000001-B62B-E446-B47A-421F8EDAF959}"/>
            </c:ext>
          </c:extLst>
        </c:ser>
        <c:ser>
          <c:idx val="2"/>
          <c:order val="2"/>
          <c:tx>
            <c:strRef>
              <c:f>Summary!$D$9</c:f>
              <c:strCache>
                <c:ptCount val="1"/>
                <c:pt idx="0">
                  <c:v>Not Documented</c:v>
                </c:pt>
              </c:strCache>
            </c:strRef>
          </c:tx>
          <c:spPr>
            <a:solidFill>
              <a:srgbClr val="FFC7CE"/>
            </a:solidFill>
            <a:ln>
              <a:noFill/>
            </a:ln>
            <a:effectLst/>
          </c:spPr>
          <c:invertIfNegative val="0"/>
          <c:cat>
            <c:strRef>
              <c:f>Summary!$A$10:$A$16</c:f>
              <c:strCache>
                <c:ptCount val="7"/>
                <c:pt idx="0">
                  <c:v>Enhanced AEFI Reporting</c:v>
                </c:pt>
                <c:pt idx="1">
                  <c:v>Signal Detection &amp; Investigation </c:v>
                </c:pt>
                <c:pt idx="2">
                  <c:v>Regulatory Actions </c:v>
                </c:pt>
                <c:pt idx="3">
                  <c:v>Communications</c:v>
                </c:pt>
                <c:pt idx="4">
                  <c:v>National Collaborations</c:v>
                </c:pt>
                <c:pt idx="5">
                  <c:v>International Collaborations</c:v>
                </c:pt>
                <c:pt idx="6">
                  <c:v>Governance</c:v>
                </c:pt>
              </c:strCache>
            </c:strRef>
          </c:cat>
          <c:val>
            <c:numRef>
              <c:f>Summary!$D$10:$D$16</c:f>
              <c:numCache>
                <c:formatCode>General</c:formatCode>
                <c:ptCount val="7"/>
                <c:pt idx="0">
                  <c:v>0</c:v>
                </c:pt>
                <c:pt idx="1">
                  <c:v>1</c:v>
                </c:pt>
                <c:pt idx="2">
                  <c:v>0</c:v>
                </c:pt>
                <c:pt idx="3">
                  <c:v>0</c:v>
                </c:pt>
                <c:pt idx="4">
                  <c:v>0</c:v>
                </c:pt>
                <c:pt idx="5">
                  <c:v>0</c:v>
                </c:pt>
                <c:pt idx="6">
                  <c:v>2</c:v>
                </c:pt>
              </c:numCache>
            </c:numRef>
          </c:val>
          <c:extLst>
            <c:ext xmlns:c16="http://schemas.microsoft.com/office/drawing/2014/chart" uri="{C3380CC4-5D6E-409C-BE32-E72D297353CC}">
              <c16:uniqueId val="{00000002-B62B-E446-B47A-421F8EDAF959}"/>
            </c:ext>
          </c:extLst>
        </c:ser>
        <c:dLbls>
          <c:showLegendKey val="0"/>
          <c:showVal val="0"/>
          <c:showCatName val="0"/>
          <c:showSerName val="0"/>
          <c:showPercent val="0"/>
          <c:showBubbleSize val="0"/>
        </c:dLbls>
        <c:gapWidth val="150"/>
        <c:overlap val="100"/>
        <c:axId val="1013891855"/>
        <c:axId val="1013050767"/>
      </c:barChart>
      <c:catAx>
        <c:axId val="1013891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050767"/>
        <c:crosses val="autoZero"/>
        <c:auto val="1"/>
        <c:lblAlgn val="ctr"/>
        <c:lblOffset val="100"/>
        <c:noMultiLvlLbl val="0"/>
      </c:catAx>
      <c:valAx>
        <c:axId val="1013050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891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2</xdr:row>
      <xdr:rowOff>0</xdr:rowOff>
    </xdr:from>
    <xdr:to>
      <xdr:col>13</xdr:col>
      <xdr:colOff>63500</xdr:colOff>
      <xdr:row>16</xdr:row>
      <xdr:rowOff>152400</xdr:rowOff>
    </xdr:to>
    <xdr:graphicFrame macro="">
      <xdr:nvGraphicFramePr>
        <xdr:cNvPr id="2" name="Chart 1">
          <a:extLst>
            <a:ext uri="{FF2B5EF4-FFF2-40B4-BE49-F238E27FC236}">
              <a16:creationId xmlns:a16="http://schemas.microsoft.com/office/drawing/2014/main" id="{42D8C426-7A3B-920A-102D-D690954F9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18</xdr:row>
      <xdr:rowOff>0</xdr:rowOff>
    </xdr:from>
    <xdr:to>
      <xdr:col>13</xdr:col>
      <xdr:colOff>25400</xdr:colOff>
      <xdr:row>35</xdr:row>
      <xdr:rowOff>12700</xdr:rowOff>
    </xdr:to>
    <xdr:graphicFrame macro="">
      <xdr:nvGraphicFramePr>
        <xdr:cNvPr id="3" name="Chart 2">
          <a:extLst>
            <a:ext uri="{FF2B5EF4-FFF2-40B4-BE49-F238E27FC236}">
              <a16:creationId xmlns:a16="http://schemas.microsoft.com/office/drawing/2014/main" id="{AA2F7E82-7FFF-8336-66E8-97E8C7E221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8d8ab10-f156-466c-ae91-138abb8c373a}">
  <we:reference id="WA200009404" version="1.0.0.5" store="en-US" storeType="OMEX"/>
  <we:alternateReferences/>
  <we:properties>
    <we:property name="Microsoft.Office.CampaignId" value="&quot;none&quot;"/>
    <we:property name="claude.fileId" value="&quot;35da465a-ae9a-4cf8-b742-b8c99c9342b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hyperlink" Target="mailto:rekasp@protonmail.com" TargetMode="External"/><Relationship Id="rId3" Type="http://schemas.openxmlformats.org/officeDocument/2006/relationships/hyperlink" Target="https://github.com/paulrekaris/TGA-COVID19-Vaccine-Safety-Monitoring-Audit/blob/main/analysis/ISO-19011-conformity-assessment-checklist.md" TargetMode="External"/><Relationship Id="rId7" Type="http://schemas.openxmlformats.org/officeDocument/2006/relationships/hyperlink" Target="https://creativecommons.org/licenses/by/4.0/" TargetMode="External"/><Relationship Id="rId2" Type="http://schemas.openxmlformats.org/officeDocument/2006/relationships/hyperlink" Target="https://github.com/paulrekaris/TGA-COVID19-Vaccine-Safety-Monitoring-Audit/blob/main/audit-governance/regulatory-accountability-audit-framework.md" TargetMode="External"/><Relationship Id="rId1" Type="http://schemas.openxmlformats.org/officeDocument/2006/relationships/hyperlink" Target="https://github.com/paulrekaris/TGA-COVID19-Vaccine-Safety-Monitoring-Audit" TargetMode="External"/><Relationship Id="rId6" Type="http://schemas.openxmlformats.org/officeDocument/2006/relationships/hyperlink" Target="https://www.aph.gov.au/Parliamentary_Business/Hansard/Hansard_Display?bid=chamber%2Fhansards%2F29212%2F&amp;sid=0000" TargetMode="External"/><Relationship Id="rId5" Type="http://schemas.openxmlformats.org/officeDocument/2006/relationships/hyperlink" Target="https://github.com/paulrekaris/TGA-COVID19-Vaccine-Safety-Monitoring-Audit/blob/main/analysis/replication-readme.md" TargetMode="External"/><Relationship Id="rId4" Type="http://schemas.openxmlformats.org/officeDocument/2006/relationships/hyperlink" Target="https://github.com/paulrekaris/TGA-COVID19-Vaccine-Safety-Monitoring-Audit/blob/main/analysis/dataset-codebook.md" TargetMode="External"/><Relationship Id="rId9" Type="http://schemas.openxmlformats.org/officeDocument/2006/relationships/hyperlink" Target="https://github.com/paulrekaris/TGA-COVID19-Vaccine-Safety-Monitoring-Audi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repository:%20https://github.com/paulrekaris/TGA-COVID19-Vaccine-Safety-Monitoring-Audit" TargetMode="External"/><Relationship Id="rId2" Type="http://schemas.openxmlformats.org/officeDocument/2006/relationships/hyperlink" Target="https://github.com/paulrekaris/TGA-COVID19-Vaccine-Safety-Monitoring-Audit/blob/main/analysis/ISO-19011-conformity-assessment-checklist.md" TargetMode="External"/><Relationship Id="rId1" Type="http://schemas.openxmlformats.org/officeDocument/2006/relationships/hyperlink" Target="https://github.com/paulrekaris/TGA-COVID19-Vaccine-Safety-Monitoring-Audit/blob/main/analysis/ISO-19011-conformity-assessment-checklist.md"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C4C7B-6756-6D43-888E-184255CFCC4C}">
  <dimension ref="A1:B46"/>
  <sheetViews>
    <sheetView workbookViewId="0">
      <selection activeCell="G6" sqref="G6"/>
    </sheetView>
  </sheetViews>
  <sheetFormatPr baseColWidth="10" defaultColWidth="8.83203125" defaultRowHeight="16" x14ac:dyDescent="0.2"/>
  <cols>
    <col min="1" max="1" width="36" customWidth="1"/>
    <col min="2" max="2" width="90" customWidth="1"/>
    <col min="3" max="3" width="4" customWidth="1"/>
  </cols>
  <sheetData>
    <row r="1" spans="1:2" ht="32" customHeight="1" x14ac:dyDescent="0.2">
      <c r="A1" s="217" t="s">
        <v>337</v>
      </c>
      <c r="B1" s="215"/>
    </row>
    <row r="2" spans="1:2" ht="26" customHeight="1" x14ac:dyDescent="0.2">
      <c r="A2" s="218" t="s">
        <v>338</v>
      </c>
      <c r="B2" s="215"/>
    </row>
    <row r="3" spans="1:2" ht="20" customHeight="1" x14ac:dyDescent="0.2">
      <c r="A3" s="219" t="s">
        <v>464</v>
      </c>
      <c r="B3" s="215"/>
    </row>
    <row r="4" spans="1:2" ht="6" hidden="1" customHeight="1" x14ac:dyDescent="0.2">
      <c r="A4" s="220"/>
      <c r="B4" s="215"/>
    </row>
    <row r="5" spans="1:2" ht="100" customHeight="1" x14ac:dyDescent="0.2">
      <c r="A5" s="221" t="s">
        <v>523</v>
      </c>
      <c r="B5" s="215"/>
    </row>
    <row r="6" spans="1:2" ht="10" customHeight="1" x14ac:dyDescent="0.2"/>
    <row r="7" spans="1:2" ht="24" customHeight="1" x14ac:dyDescent="0.2">
      <c r="A7" s="214" t="s">
        <v>339</v>
      </c>
      <c r="B7" s="215"/>
    </row>
    <row r="8" spans="1:2" ht="4" customHeight="1" x14ac:dyDescent="0.2"/>
    <row r="9" spans="1:2" ht="20" customHeight="1" x14ac:dyDescent="0.2">
      <c r="A9" s="134" t="s">
        <v>340</v>
      </c>
      <c r="B9" s="134" t="s">
        <v>170</v>
      </c>
    </row>
    <row r="10" spans="1:2" ht="20" customHeight="1" x14ac:dyDescent="0.2">
      <c r="A10" s="135" t="s">
        <v>0</v>
      </c>
      <c r="B10" s="136" t="s">
        <v>341</v>
      </c>
    </row>
    <row r="11" spans="1:2" ht="20" customHeight="1" x14ac:dyDescent="0.2">
      <c r="A11" s="137" t="s">
        <v>1</v>
      </c>
      <c r="B11" s="138" t="s">
        <v>342</v>
      </c>
    </row>
    <row r="12" spans="1:2" ht="20" customHeight="1" x14ac:dyDescent="0.2">
      <c r="A12" s="135" t="s">
        <v>515</v>
      </c>
      <c r="B12" s="136" t="s">
        <v>514</v>
      </c>
    </row>
    <row r="13" spans="1:2" ht="20" customHeight="1" x14ac:dyDescent="0.2">
      <c r="A13" s="137" t="s">
        <v>3</v>
      </c>
      <c r="B13" s="138" t="s">
        <v>343</v>
      </c>
    </row>
    <row r="14" spans="1:2" ht="20" customHeight="1" x14ac:dyDescent="0.2">
      <c r="A14" s="135" t="s">
        <v>384</v>
      </c>
      <c r="B14" s="136" t="s">
        <v>344</v>
      </c>
    </row>
    <row r="15" spans="1:2" ht="20" customHeight="1" x14ac:dyDescent="0.2">
      <c r="A15" s="137" t="s">
        <v>5</v>
      </c>
      <c r="B15" s="138" t="s">
        <v>345</v>
      </c>
    </row>
    <row r="16" spans="1:2" ht="20" customHeight="1" x14ac:dyDescent="0.2">
      <c r="A16" s="135" t="s">
        <v>6</v>
      </c>
      <c r="B16" s="136" t="s">
        <v>346</v>
      </c>
    </row>
    <row r="17" spans="1:2" ht="10" customHeight="1" x14ac:dyDescent="0.2"/>
    <row r="18" spans="1:2" ht="24" customHeight="1" x14ac:dyDescent="0.2">
      <c r="A18" s="214" t="s">
        <v>347</v>
      </c>
      <c r="B18" s="215"/>
    </row>
    <row r="19" spans="1:2" ht="4" customHeight="1" x14ac:dyDescent="0.2"/>
    <row r="20" spans="1:2" ht="20" customHeight="1" x14ac:dyDescent="0.2">
      <c r="A20" s="135" t="s">
        <v>348</v>
      </c>
      <c r="B20" s="139" t="s">
        <v>349</v>
      </c>
    </row>
    <row r="21" spans="1:2" ht="30" x14ac:dyDescent="0.2">
      <c r="A21" s="137" t="s">
        <v>350</v>
      </c>
      <c r="B21" s="140" t="s">
        <v>351</v>
      </c>
    </row>
    <row r="22" spans="1:2" ht="30" x14ac:dyDescent="0.2">
      <c r="A22" s="135" t="s">
        <v>352</v>
      </c>
      <c r="B22" s="139" t="s">
        <v>353</v>
      </c>
    </row>
    <row r="23" spans="1:2" ht="30" x14ac:dyDescent="0.2">
      <c r="A23" s="137" t="s">
        <v>354</v>
      </c>
      <c r="B23" s="140" t="s">
        <v>355</v>
      </c>
    </row>
    <row r="24" spans="1:2" ht="30" x14ac:dyDescent="0.2">
      <c r="A24" s="135" t="s">
        <v>356</v>
      </c>
      <c r="B24" s="139" t="s">
        <v>357</v>
      </c>
    </row>
    <row r="25" spans="1:2" ht="10" customHeight="1" x14ac:dyDescent="0.2"/>
    <row r="26" spans="1:2" ht="24" customHeight="1" x14ac:dyDescent="0.2">
      <c r="A26" s="214" t="s">
        <v>358</v>
      </c>
      <c r="B26" s="215"/>
    </row>
    <row r="27" spans="1:2" ht="4" customHeight="1" x14ac:dyDescent="0.2"/>
    <row r="28" spans="1:2" ht="20" customHeight="1" x14ac:dyDescent="0.2">
      <c r="A28" s="135" t="s">
        <v>359</v>
      </c>
      <c r="B28" s="141" t="s">
        <v>360</v>
      </c>
    </row>
    <row r="29" spans="1:2" ht="20" customHeight="1" x14ac:dyDescent="0.2">
      <c r="A29" s="137" t="s">
        <v>361</v>
      </c>
      <c r="B29" s="142" t="s">
        <v>362</v>
      </c>
    </row>
    <row r="30" spans="1:2" ht="20" customHeight="1" x14ac:dyDescent="0.2">
      <c r="A30" s="135" t="s">
        <v>363</v>
      </c>
      <c r="B30" s="141" t="s">
        <v>364</v>
      </c>
    </row>
    <row r="31" spans="1:2" ht="20" customHeight="1" x14ac:dyDescent="0.2">
      <c r="A31" s="137" t="s">
        <v>365</v>
      </c>
      <c r="B31" s="138" t="s">
        <v>366</v>
      </c>
    </row>
    <row r="32" spans="1:2" ht="20" customHeight="1" x14ac:dyDescent="0.2">
      <c r="A32" s="135" t="s">
        <v>367</v>
      </c>
      <c r="B32" s="139" t="s">
        <v>379</v>
      </c>
    </row>
    <row r="33" spans="1:2" ht="10" customHeight="1" x14ac:dyDescent="0.2"/>
    <row r="34" spans="1:2" ht="24" customHeight="1" x14ac:dyDescent="0.2">
      <c r="A34" s="214" t="s">
        <v>368</v>
      </c>
      <c r="B34" s="215"/>
    </row>
    <row r="35" spans="1:2" ht="4" customHeight="1" x14ac:dyDescent="0.2"/>
    <row r="36" spans="1:2" ht="20" customHeight="1" x14ac:dyDescent="0.2">
      <c r="A36" s="135" t="s">
        <v>369</v>
      </c>
      <c r="B36" s="139" t="s">
        <v>370</v>
      </c>
    </row>
    <row r="37" spans="1:2" ht="34" customHeight="1" x14ac:dyDescent="0.2">
      <c r="A37" s="137" t="s">
        <v>371</v>
      </c>
      <c r="B37" s="138" t="s">
        <v>414</v>
      </c>
    </row>
    <row r="38" spans="1:2" ht="20" customHeight="1" x14ac:dyDescent="0.2">
      <c r="A38" s="135" t="s">
        <v>372</v>
      </c>
      <c r="B38" s="139" t="s">
        <v>373</v>
      </c>
    </row>
    <row r="39" spans="1:2" ht="10" customHeight="1" x14ac:dyDescent="0.2"/>
    <row r="40" spans="1:2" ht="24" customHeight="1" x14ac:dyDescent="0.2">
      <c r="A40" s="214" t="s">
        <v>374</v>
      </c>
      <c r="B40" s="215"/>
    </row>
    <row r="41" spans="1:2" ht="4" customHeight="1" x14ac:dyDescent="0.2"/>
    <row r="42" spans="1:2" ht="36" customHeight="1" x14ac:dyDescent="0.2">
      <c r="A42" s="216" t="s">
        <v>375</v>
      </c>
      <c r="B42" s="215"/>
    </row>
    <row r="43" spans="1:2" ht="4" customHeight="1" x14ac:dyDescent="0.2"/>
    <row r="44" spans="1:2" ht="20" customHeight="1" x14ac:dyDescent="0.2">
      <c r="A44" s="137" t="s">
        <v>376</v>
      </c>
      <c r="B44" s="140" t="s">
        <v>377</v>
      </c>
    </row>
    <row r="46" spans="1:2" ht="16" customHeight="1" x14ac:dyDescent="0.2">
      <c r="A46" s="213" t="s">
        <v>524</v>
      </c>
    </row>
  </sheetData>
  <mergeCells count="11">
    <mergeCell ref="A7:B7"/>
    <mergeCell ref="A1:B1"/>
    <mergeCell ref="A2:B2"/>
    <mergeCell ref="A3:B3"/>
    <mergeCell ref="A4:B4"/>
    <mergeCell ref="A5:B5"/>
    <mergeCell ref="A18:B18"/>
    <mergeCell ref="A26:B26"/>
    <mergeCell ref="A34:B34"/>
    <mergeCell ref="A40:B40"/>
    <mergeCell ref="A42:B42"/>
  </mergeCells>
  <hyperlinks>
    <hyperlink ref="B20" r:id="rId1" location="readme" xr:uid="{BA01755E-B181-7646-866E-9C201D178CA6}"/>
    <hyperlink ref="B21" r:id="rId2" xr:uid="{77D67B61-03E7-2E44-B6DC-023351F3B26A}"/>
    <hyperlink ref="B22" r:id="rId3" xr:uid="{338ED261-6133-EE40-8A0B-DE30E056F001}"/>
    <hyperlink ref="B23" r:id="rId4" xr:uid="{95FC96FE-6B69-E444-83A5-D89622BF6F6C}"/>
    <hyperlink ref="B24" r:id="rId5" xr:uid="{849C5B81-E319-6747-8C5F-C9EB297566C4}"/>
    <hyperlink ref="B32" r:id="rId6" xr:uid="{78585BAD-AC3A-B44E-9FE9-38FFAE9431F0}"/>
    <hyperlink ref="B36" r:id="rId7" xr:uid="{D8CBBCBC-8188-E144-96F9-2C83F32DC170}"/>
    <hyperlink ref="B38" r:id="rId8" xr:uid="{D092626F-0D12-C645-A3E5-4F2C6F7E757C}"/>
    <hyperlink ref="B44" r:id="rId9" location="limitations-and-falsifiability" xr:uid="{2EAB0FD8-35FD-2A44-BBC7-DF74628C05B3}"/>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7C013-7F2D-9146-A838-7E8244A397B8}">
  <dimension ref="A1:E36"/>
  <sheetViews>
    <sheetView workbookViewId="0">
      <pane ySplit="1" topLeftCell="A22" activePane="bottomLeft" state="frozen"/>
      <selection pane="bottomLeft" activeCell="C49" sqref="C49"/>
    </sheetView>
  </sheetViews>
  <sheetFormatPr baseColWidth="10" defaultRowHeight="16" x14ac:dyDescent="0.2"/>
  <cols>
    <col min="1" max="1" width="32.33203125" customWidth="1"/>
    <col min="2" max="5" width="20" customWidth="1"/>
  </cols>
  <sheetData>
    <row r="1" spans="1:5" ht="45" customHeight="1" x14ac:dyDescent="0.2">
      <c r="A1" s="222" t="s">
        <v>61</v>
      </c>
      <c r="B1" s="223"/>
      <c r="C1" s="223"/>
      <c r="D1" s="223"/>
      <c r="E1" s="223"/>
    </row>
    <row r="2" spans="1:5" ht="10" customHeight="1" thickBot="1" x14ac:dyDescent="0.25">
      <c r="A2" s="61"/>
      <c r="B2" s="61"/>
      <c r="C2" s="61"/>
      <c r="D2" s="61"/>
      <c r="E2" s="61"/>
    </row>
    <row r="3" spans="1:5" ht="30" customHeight="1" thickBot="1" x14ac:dyDescent="0.25">
      <c r="A3" s="62" t="s">
        <v>62</v>
      </c>
      <c r="B3" s="63" t="s">
        <v>63</v>
      </c>
      <c r="C3" s="64" t="s">
        <v>64</v>
      </c>
      <c r="D3" s="64"/>
      <c r="E3" s="64"/>
    </row>
    <row r="4" spans="1:5" ht="24" customHeight="1" x14ac:dyDescent="0.2">
      <c r="A4" s="65" t="s">
        <v>269</v>
      </c>
      <c r="B4" s="66">
        <v>3</v>
      </c>
      <c r="C4" s="90">
        <f>B4/B7</f>
        <v>0.15789473684210525</v>
      </c>
    </row>
    <row r="5" spans="1:5" ht="24" customHeight="1" x14ac:dyDescent="0.2">
      <c r="A5" s="67" t="s">
        <v>280</v>
      </c>
      <c r="B5" s="68">
        <v>13</v>
      </c>
      <c r="C5" s="91">
        <f>B5/B7</f>
        <v>0.68421052631578949</v>
      </c>
    </row>
    <row r="6" spans="1:5" ht="24" customHeight="1" thickBot="1" x14ac:dyDescent="0.25">
      <c r="A6" s="69" t="s">
        <v>274</v>
      </c>
      <c r="B6" s="68">
        <v>3</v>
      </c>
      <c r="C6" s="91">
        <f>B6/B7</f>
        <v>0.15789473684210525</v>
      </c>
    </row>
    <row r="7" spans="1:5" ht="24" customHeight="1" thickBot="1" x14ac:dyDescent="0.25">
      <c r="A7" s="70" t="s">
        <v>65</v>
      </c>
      <c r="B7" s="71">
        <f>SUM(B4:B6)</f>
        <v>19</v>
      </c>
      <c r="C7" s="92">
        <f>SUM(C4:C6)</f>
        <v>1</v>
      </c>
    </row>
    <row r="8" spans="1:5" ht="14" customHeight="1" x14ac:dyDescent="0.2">
      <c r="A8" s="61"/>
      <c r="B8" s="61"/>
      <c r="C8" s="61"/>
      <c r="D8" s="61"/>
      <c r="E8" s="61"/>
    </row>
    <row r="9" spans="1:5" ht="30" customHeight="1" thickBot="1" x14ac:dyDescent="0.25">
      <c r="A9" s="72" t="s">
        <v>66</v>
      </c>
      <c r="B9" s="58" t="s">
        <v>8</v>
      </c>
      <c r="C9" s="59" t="s">
        <v>176</v>
      </c>
      <c r="D9" s="60" t="s">
        <v>30</v>
      </c>
      <c r="E9" s="73" t="s">
        <v>67</v>
      </c>
    </row>
    <row r="10" spans="1:5" ht="24" customHeight="1" x14ac:dyDescent="0.2">
      <c r="A10" s="74" t="s">
        <v>319</v>
      </c>
      <c r="B10" s="75">
        <v>2</v>
      </c>
      <c r="C10" s="75">
        <v>3</v>
      </c>
      <c r="D10" s="75">
        <v>0</v>
      </c>
      <c r="E10" s="76">
        <f>SUM(B10:D10)</f>
        <v>5</v>
      </c>
    </row>
    <row r="11" spans="1:5" ht="24" customHeight="1" x14ac:dyDescent="0.2">
      <c r="A11" s="77" t="s">
        <v>387</v>
      </c>
      <c r="B11" s="68">
        <v>0</v>
      </c>
      <c r="C11" s="68">
        <v>7</v>
      </c>
      <c r="D11" s="68">
        <v>1</v>
      </c>
      <c r="E11" s="78">
        <f t="shared" ref="E11:E16" si="0">SUM(B11:D11)</f>
        <v>8</v>
      </c>
    </row>
    <row r="12" spans="1:5" ht="24" customHeight="1" x14ac:dyDescent="0.2">
      <c r="A12" s="79" t="s">
        <v>388</v>
      </c>
      <c r="B12" s="80">
        <v>0</v>
      </c>
      <c r="C12" s="80">
        <v>1</v>
      </c>
      <c r="D12" s="80">
        <v>0</v>
      </c>
      <c r="E12" s="81">
        <f t="shared" si="0"/>
        <v>1</v>
      </c>
    </row>
    <row r="13" spans="1:5" ht="24" customHeight="1" x14ac:dyDescent="0.2">
      <c r="A13" s="82" t="s">
        <v>318</v>
      </c>
      <c r="B13" s="68">
        <v>1</v>
      </c>
      <c r="C13" s="68">
        <v>0</v>
      </c>
      <c r="D13" s="68">
        <v>0</v>
      </c>
      <c r="E13" s="78">
        <v>1</v>
      </c>
    </row>
    <row r="14" spans="1:5" ht="24" customHeight="1" x14ac:dyDescent="0.2">
      <c r="A14" s="79" t="s">
        <v>320</v>
      </c>
      <c r="B14" s="80">
        <v>0</v>
      </c>
      <c r="C14" s="80">
        <v>1</v>
      </c>
      <c r="D14" s="80">
        <v>0</v>
      </c>
      <c r="E14" s="81">
        <v>1</v>
      </c>
    </row>
    <row r="15" spans="1:5" ht="24" customHeight="1" x14ac:dyDescent="0.2">
      <c r="A15" s="82" t="s">
        <v>335</v>
      </c>
      <c r="B15" s="68">
        <v>0</v>
      </c>
      <c r="C15" s="68">
        <v>1</v>
      </c>
      <c r="D15" s="68">
        <v>0</v>
      </c>
      <c r="E15" s="78">
        <v>1</v>
      </c>
    </row>
    <row r="16" spans="1:5" ht="24" customHeight="1" thickBot="1" x14ac:dyDescent="0.25">
      <c r="A16" s="79" t="s">
        <v>57</v>
      </c>
      <c r="B16" s="80">
        <v>0</v>
      </c>
      <c r="C16" s="80">
        <v>0</v>
      </c>
      <c r="D16" s="80">
        <v>2</v>
      </c>
      <c r="E16" s="81">
        <f t="shared" si="0"/>
        <v>2</v>
      </c>
    </row>
    <row r="17" spans="1:5" ht="24" customHeight="1" thickBot="1" x14ac:dyDescent="0.25">
      <c r="A17" s="83" t="s">
        <v>65</v>
      </c>
      <c r="B17" s="84">
        <f>SUM(B10:B16)</f>
        <v>3</v>
      </c>
      <c r="C17" s="84">
        <f>SUM(C10:C16)</f>
        <v>13</v>
      </c>
      <c r="D17" s="84">
        <f>SUM(D10:D16)</f>
        <v>3</v>
      </c>
      <c r="E17" s="85">
        <f>SUM(E10:E16)</f>
        <v>19</v>
      </c>
    </row>
    <row r="18" spans="1:5" ht="14" customHeight="1" x14ac:dyDescent="0.2">
      <c r="A18" s="61"/>
      <c r="B18" s="61"/>
      <c r="C18" s="61"/>
      <c r="D18" s="61"/>
      <c r="E18" s="61"/>
    </row>
    <row r="19" spans="1:5" ht="30" customHeight="1" thickBot="1" x14ac:dyDescent="0.25">
      <c r="A19" s="72" t="s">
        <v>68</v>
      </c>
      <c r="B19" s="73" t="s">
        <v>63</v>
      </c>
      <c r="C19" s="73" t="s">
        <v>69</v>
      </c>
      <c r="D19" s="73" t="s">
        <v>70</v>
      </c>
      <c r="E19" s="73" t="s">
        <v>71</v>
      </c>
    </row>
    <row r="20" spans="1:5" ht="24" customHeight="1" x14ac:dyDescent="0.2">
      <c r="A20" s="74" t="s">
        <v>319</v>
      </c>
      <c r="B20" s="66">
        <v>5</v>
      </c>
      <c r="C20" s="86">
        <v>2.2000000000000002</v>
      </c>
      <c r="D20" s="66">
        <v>1</v>
      </c>
      <c r="E20" s="87">
        <v>3</v>
      </c>
    </row>
    <row r="21" spans="1:5" ht="24" customHeight="1" x14ac:dyDescent="0.2">
      <c r="A21" s="77" t="s">
        <v>387</v>
      </c>
      <c r="B21" s="68">
        <v>8</v>
      </c>
      <c r="C21" s="88">
        <v>3.75</v>
      </c>
      <c r="D21" s="68">
        <v>3</v>
      </c>
      <c r="E21" s="89">
        <v>5</v>
      </c>
    </row>
    <row r="22" spans="1:5" ht="24" customHeight="1" x14ac:dyDescent="0.2">
      <c r="A22" s="79" t="s">
        <v>388</v>
      </c>
      <c r="B22" s="68">
        <v>1</v>
      </c>
      <c r="C22" s="88">
        <v>4</v>
      </c>
      <c r="D22" s="68">
        <v>4</v>
      </c>
      <c r="E22" s="89">
        <v>4</v>
      </c>
    </row>
    <row r="23" spans="1:5" ht="24" customHeight="1" x14ac:dyDescent="0.2">
      <c r="A23" s="82" t="s">
        <v>318</v>
      </c>
      <c r="B23" s="68">
        <v>1</v>
      </c>
      <c r="C23" s="88">
        <v>1</v>
      </c>
      <c r="D23" s="68">
        <v>1</v>
      </c>
      <c r="E23" s="89">
        <v>1</v>
      </c>
    </row>
    <row r="24" spans="1:5" ht="24" customHeight="1" x14ac:dyDescent="0.2">
      <c r="A24" s="79" t="s">
        <v>320</v>
      </c>
      <c r="B24" s="68">
        <v>1</v>
      </c>
      <c r="C24" s="88">
        <v>3</v>
      </c>
      <c r="D24" s="68">
        <v>3</v>
      </c>
      <c r="E24" s="89">
        <v>3</v>
      </c>
    </row>
    <row r="25" spans="1:5" ht="24" customHeight="1" x14ac:dyDescent="0.2">
      <c r="A25" s="82" t="s">
        <v>335</v>
      </c>
      <c r="B25" s="68">
        <v>1</v>
      </c>
      <c r="C25" s="88">
        <v>3</v>
      </c>
      <c r="D25" s="68">
        <v>3</v>
      </c>
      <c r="E25" s="89">
        <v>3</v>
      </c>
    </row>
    <row r="26" spans="1:5" ht="35" thickBot="1" x14ac:dyDescent="0.25">
      <c r="A26" s="143" t="s">
        <v>385</v>
      </c>
      <c r="B26" s="68">
        <v>2</v>
      </c>
      <c r="C26" s="88">
        <v>5</v>
      </c>
      <c r="D26" s="68">
        <v>5</v>
      </c>
      <c r="E26" s="89">
        <v>5</v>
      </c>
    </row>
    <row r="27" spans="1:5" ht="24" customHeight="1" thickBot="1" x14ac:dyDescent="0.25">
      <c r="A27" s="83" t="s">
        <v>72</v>
      </c>
      <c r="B27" s="84">
        <f>SUM(B20:B26)</f>
        <v>19</v>
      </c>
      <c r="C27" s="130">
        <f>SUMPRODUCT(B20:B26,C20:C26)/SUM(B20:B26)</f>
        <v>3.263157894736842</v>
      </c>
      <c r="D27" s="84">
        <v>1</v>
      </c>
      <c r="E27" s="85">
        <v>5</v>
      </c>
    </row>
    <row r="36" spans="1:1" x14ac:dyDescent="0.2">
      <c r="A36" s="213" t="s">
        <v>525</v>
      </c>
    </row>
  </sheetData>
  <mergeCells count="1">
    <mergeCell ref="A1:E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AD58D-4E46-A446-8EEE-AF9065B52955}">
  <dimension ref="A1:L95"/>
  <sheetViews>
    <sheetView tabSelected="1" workbookViewId="0">
      <pane ySplit="1" topLeftCell="A62" activePane="bottomLeft" state="frozen"/>
      <selection pane="bottomLeft" activeCell="B64" sqref="B64"/>
    </sheetView>
  </sheetViews>
  <sheetFormatPr baseColWidth="10" defaultRowHeight="16" x14ac:dyDescent="0.2"/>
  <cols>
    <col min="1" max="1" width="20.5" style="1" customWidth="1"/>
    <col min="2" max="2" width="46.6640625" style="1" customWidth="1"/>
    <col min="3" max="3" width="50" style="1" customWidth="1"/>
    <col min="4" max="4" width="41.6640625" style="1" customWidth="1"/>
    <col min="5" max="12" width="10.83203125" style="1"/>
    <col min="13" max="16384" width="10.83203125" style="4"/>
  </cols>
  <sheetData>
    <row r="1" spans="1:4" ht="45" customHeight="1" x14ac:dyDescent="0.2">
      <c r="A1" s="226" t="s">
        <v>165</v>
      </c>
      <c r="B1" s="227"/>
      <c r="C1" s="227"/>
      <c r="D1" s="227"/>
    </row>
    <row r="2" spans="1:4" ht="8" customHeight="1" x14ac:dyDescent="0.2">
      <c r="A2" s="42"/>
      <c r="B2" s="42"/>
      <c r="C2" s="42"/>
      <c r="D2" s="42"/>
    </row>
    <row r="3" spans="1:4" ht="32" customHeight="1" x14ac:dyDescent="0.2">
      <c r="A3" s="224" t="s">
        <v>73</v>
      </c>
      <c r="B3" s="225"/>
      <c r="C3" s="225"/>
      <c r="D3" s="225"/>
    </row>
    <row r="4" spans="1:4" ht="8" customHeight="1" x14ac:dyDescent="0.2">
      <c r="A4" s="42"/>
      <c r="B4" s="42"/>
      <c r="C4" s="42"/>
      <c r="D4" s="42"/>
    </row>
    <row r="5" spans="1:4" ht="19" customHeight="1" x14ac:dyDescent="0.2">
      <c r="A5" s="228" t="s">
        <v>74</v>
      </c>
      <c r="B5" s="229"/>
      <c r="C5" s="229"/>
      <c r="D5" s="229"/>
    </row>
    <row r="6" spans="1:4" ht="8" customHeight="1" x14ac:dyDescent="0.2">
      <c r="A6" s="42"/>
      <c r="B6" s="42"/>
      <c r="C6" s="42"/>
      <c r="D6" s="42"/>
    </row>
    <row r="7" spans="1:4" ht="20" customHeight="1" x14ac:dyDescent="0.2">
      <c r="A7" s="230" t="s">
        <v>75</v>
      </c>
      <c r="B7" s="231"/>
      <c r="C7" s="231"/>
      <c r="D7" s="231"/>
    </row>
    <row r="8" spans="1:4" ht="8" customHeight="1" x14ac:dyDescent="0.2">
      <c r="A8" s="42"/>
      <c r="B8" s="42"/>
      <c r="C8" s="42"/>
      <c r="D8" s="42"/>
    </row>
    <row r="9" spans="1:4" ht="20" customHeight="1" x14ac:dyDescent="0.2">
      <c r="A9" s="232" t="s">
        <v>378</v>
      </c>
      <c r="B9" s="233"/>
      <c r="C9" s="233"/>
      <c r="D9" s="233"/>
    </row>
    <row r="10" spans="1:4" ht="8" customHeight="1" x14ac:dyDescent="0.2">
      <c r="A10" s="42"/>
      <c r="B10" s="42"/>
      <c r="C10" s="42"/>
      <c r="D10" s="42"/>
    </row>
    <row r="11" spans="1:4" ht="32" customHeight="1" x14ac:dyDescent="0.2">
      <c r="A11" s="224" t="s">
        <v>76</v>
      </c>
      <c r="B11" s="225"/>
      <c r="C11" s="225"/>
      <c r="D11" s="225"/>
    </row>
    <row r="12" spans="1:4" ht="8" customHeight="1" x14ac:dyDescent="0.2">
      <c r="A12" s="42"/>
      <c r="B12" s="42"/>
      <c r="C12" s="42"/>
      <c r="D12" s="42"/>
    </row>
    <row r="13" spans="1:4" ht="28" customHeight="1" thickBot="1" x14ac:dyDescent="0.25">
      <c r="A13" s="52" t="s">
        <v>275</v>
      </c>
      <c r="B13" s="41" t="s">
        <v>77</v>
      </c>
      <c r="C13" s="46" t="s">
        <v>78</v>
      </c>
    </row>
    <row r="14" spans="1:4" ht="48" customHeight="1" x14ac:dyDescent="0.2">
      <c r="A14" s="37">
        <v>1</v>
      </c>
      <c r="B14" s="33" t="s">
        <v>79</v>
      </c>
      <c r="C14" s="47" t="s">
        <v>80</v>
      </c>
    </row>
    <row r="15" spans="1:4" ht="63" customHeight="1" x14ac:dyDescent="0.2">
      <c r="A15" s="38">
        <v>2</v>
      </c>
      <c r="B15" s="34" t="s">
        <v>460</v>
      </c>
      <c r="C15" s="48" t="s">
        <v>461</v>
      </c>
    </row>
    <row r="16" spans="1:4" ht="64" x14ac:dyDescent="0.2">
      <c r="A16" s="39">
        <v>3</v>
      </c>
      <c r="B16" s="49" t="s">
        <v>467</v>
      </c>
      <c r="C16" s="49" t="s">
        <v>484</v>
      </c>
    </row>
    <row r="17" spans="1:4" ht="48" customHeight="1" x14ac:dyDescent="0.2">
      <c r="A17" s="38">
        <v>4</v>
      </c>
      <c r="B17" s="34" t="s">
        <v>81</v>
      </c>
      <c r="C17" s="48" t="s">
        <v>382</v>
      </c>
    </row>
    <row r="18" spans="1:4" ht="48" customHeight="1" x14ac:dyDescent="0.2">
      <c r="A18" s="39">
        <v>5</v>
      </c>
      <c r="B18" s="36" t="s">
        <v>82</v>
      </c>
      <c r="C18" s="49" t="s">
        <v>83</v>
      </c>
    </row>
    <row r="19" spans="1:4" ht="48" customHeight="1" x14ac:dyDescent="0.2">
      <c r="A19" s="38">
        <v>6</v>
      </c>
      <c r="B19" s="34" t="s">
        <v>84</v>
      </c>
      <c r="C19" s="48" t="s">
        <v>85</v>
      </c>
    </row>
    <row r="20" spans="1:4" ht="48" x14ac:dyDescent="0.2">
      <c r="A20" s="40">
        <v>7</v>
      </c>
      <c r="B20" s="35" t="s">
        <v>86</v>
      </c>
      <c r="C20" s="50" t="s">
        <v>415</v>
      </c>
    </row>
    <row r="21" spans="1:4" ht="8" customHeight="1" x14ac:dyDescent="0.2">
      <c r="A21" s="42"/>
      <c r="B21" s="42"/>
      <c r="C21" s="42"/>
      <c r="D21" s="42"/>
    </row>
    <row r="22" spans="1:4" ht="32" customHeight="1" x14ac:dyDescent="0.2">
      <c r="A22" s="224" t="s">
        <v>87</v>
      </c>
      <c r="B22" s="225"/>
      <c r="C22" s="225"/>
      <c r="D22" s="225"/>
    </row>
    <row r="23" spans="1:4" ht="8" customHeight="1" x14ac:dyDescent="0.2">
      <c r="A23" s="42"/>
      <c r="B23" s="42"/>
      <c r="C23" s="42"/>
      <c r="D23" s="42"/>
    </row>
    <row r="24" spans="1:4" ht="26" customHeight="1" x14ac:dyDescent="0.2">
      <c r="A24" s="234" t="s">
        <v>88</v>
      </c>
      <c r="B24" s="235"/>
      <c r="C24" s="235"/>
      <c r="D24" s="235"/>
    </row>
    <row r="25" spans="1:4" ht="8" customHeight="1" x14ac:dyDescent="0.2">
      <c r="A25" s="42"/>
      <c r="B25" s="42"/>
      <c r="C25" s="42"/>
      <c r="D25" s="42"/>
    </row>
    <row r="26" spans="1:4" ht="28" customHeight="1" thickBot="1" x14ac:dyDescent="0.25">
      <c r="A26" s="52" t="s">
        <v>89</v>
      </c>
      <c r="B26" s="41" t="s">
        <v>90</v>
      </c>
      <c r="C26" s="46" t="s">
        <v>91</v>
      </c>
    </row>
    <row r="27" spans="1:4" ht="42" customHeight="1" x14ac:dyDescent="0.2">
      <c r="A27" s="53" t="s">
        <v>92</v>
      </c>
      <c r="B27" s="33" t="s">
        <v>93</v>
      </c>
      <c r="C27" s="47" t="s">
        <v>94</v>
      </c>
    </row>
    <row r="28" spans="1:4" ht="42" customHeight="1" x14ac:dyDescent="0.2">
      <c r="A28" s="54" t="s">
        <v>95</v>
      </c>
      <c r="B28" s="34" t="s">
        <v>96</v>
      </c>
      <c r="C28" s="48" t="s">
        <v>97</v>
      </c>
    </row>
    <row r="29" spans="1:4" ht="42" customHeight="1" x14ac:dyDescent="0.2">
      <c r="A29" s="55" t="s">
        <v>98</v>
      </c>
      <c r="B29" s="35" t="s">
        <v>99</v>
      </c>
      <c r="C29" s="50" t="s">
        <v>100</v>
      </c>
    </row>
    <row r="30" spans="1:4" ht="8" customHeight="1" x14ac:dyDescent="0.2">
      <c r="A30" s="42"/>
      <c r="B30" s="42"/>
      <c r="C30" s="42"/>
      <c r="D30" s="42"/>
    </row>
    <row r="31" spans="1:4" ht="26" customHeight="1" x14ac:dyDescent="0.2">
      <c r="A31" s="234" t="s">
        <v>101</v>
      </c>
      <c r="B31" s="235"/>
      <c r="C31" s="235"/>
      <c r="D31" s="235"/>
    </row>
    <row r="32" spans="1:4" ht="8" customHeight="1" x14ac:dyDescent="0.2">
      <c r="A32" s="42"/>
      <c r="B32" s="42"/>
      <c r="C32" s="42"/>
      <c r="D32" s="42"/>
    </row>
    <row r="33" spans="1:4" ht="28" customHeight="1" thickBot="1" x14ac:dyDescent="0.25">
      <c r="A33" s="52" t="s">
        <v>102</v>
      </c>
      <c r="B33" s="41" t="s">
        <v>90</v>
      </c>
      <c r="C33" s="46" t="s">
        <v>91</v>
      </c>
    </row>
    <row r="34" spans="1:4" ht="42" customHeight="1" x14ac:dyDescent="0.2">
      <c r="A34" s="53" t="s">
        <v>103</v>
      </c>
      <c r="B34" s="33" t="s">
        <v>104</v>
      </c>
      <c r="C34" s="47" t="s">
        <v>105</v>
      </c>
    </row>
    <row r="35" spans="1:4" ht="42" customHeight="1" x14ac:dyDescent="0.2">
      <c r="A35" s="54" t="s">
        <v>106</v>
      </c>
      <c r="B35" s="34" t="s">
        <v>107</v>
      </c>
      <c r="C35" s="48" t="s">
        <v>108</v>
      </c>
    </row>
    <row r="36" spans="1:4" ht="42" customHeight="1" x14ac:dyDescent="0.2">
      <c r="A36" s="55" t="s">
        <v>109</v>
      </c>
      <c r="B36" s="34" t="s">
        <v>425</v>
      </c>
      <c r="C36" s="50" t="s">
        <v>426</v>
      </c>
    </row>
    <row r="37" spans="1:4" ht="8" customHeight="1" x14ac:dyDescent="0.2">
      <c r="A37" s="42"/>
      <c r="B37" s="42"/>
      <c r="C37" s="42"/>
      <c r="D37" s="42"/>
    </row>
    <row r="38" spans="1:4" ht="26" customHeight="1" x14ac:dyDescent="0.2">
      <c r="A38" s="234" t="s">
        <v>110</v>
      </c>
      <c r="B38" s="235"/>
      <c r="C38" s="235"/>
      <c r="D38" s="235"/>
    </row>
    <row r="39" spans="1:4" ht="8" customHeight="1" x14ac:dyDescent="0.2">
      <c r="A39" s="42"/>
      <c r="B39" s="42"/>
      <c r="C39" s="42"/>
      <c r="D39" s="42"/>
    </row>
    <row r="40" spans="1:4" ht="28" customHeight="1" thickBot="1" x14ac:dyDescent="0.25">
      <c r="A40" s="52" t="s">
        <v>102</v>
      </c>
      <c r="B40" s="41" t="s">
        <v>90</v>
      </c>
      <c r="C40" s="46" t="s">
        <v>91</v>
      </c>
    </row>
    <row r="41" spans="1:4" ht="48" x14ac:dyDescent="0.2">
      <c r="A41" s="53" t="s">
        <v>111</v>
      </c>
      <c r="B41" s="33" t="s">
        <v>112</v>
      </c>
      <c r="C41" s="47" t="s">
        <v>113</v>
      </c>
    </row>
    <row r="42" spans="1:4" ht="48" x14ac:dyDescent="0.2">
      <c r="A42" s="54" t="s">
        <v>114</v>
      </c>
      <c r="B42" s="34" t="s">
        <v>115</v>
      </c>
      <c r="C42" s="48" t="s">
        <v>116</v>
      </c>
    </row>
    <row r="43" spans="1:4" ht="42" customHeight="1" x14ac:dyDescent="0.2">
      <c r="A43" s="55" t="s">
        <v>117</v>
      </c>
      <c r="B43" s="35" t="s">
        <v>118</v>
      </c>
      <c r="C43" s="50" t="s">
        <v>119</v>
      </c>
    </row>
    <row r="44" spans="1:4" ht="8" customHeight="1" x14ac:dyDescent="0.2">
      <c r="A44" s="42"/>
      <c r="B44" s="42"/>
      <c r="C44" s="42"/>
      <c r="D44" s="42"/>
    </row>
    <row r="45" spans="1:4" ht="26" customHeight="1" x14ac:dyDescent="0.2">
      <c r="A45" s="234" t="s">
        <v>120</v>
      </c>
      <c r="B45" s="235"/>
      <c r="C45" s="235"/>
      <c r="D45" s="235"/>
    </row>
    <row r="46" spans="1:4" ht="8" customHeight="1" x14ac:dyDescent="0.2">
      <c r="A46" s="42"/>
      <c r="B46" s="42"/>
      <c r="C46" s="42"/>
      <c r="D46" s="42"/>
    </row>
    <row r="47" spans="1:4" ht="28" customHeight="1" thickBot="1" x14ac:dyDescent="0.25">
      <c r="A47" s="52" t="s">
        <v>121</v>
      </c>
      <c r="B47" s="41" t="s">
        <v>90</v>
      </c>
      <c r="C47" s="46" t="s">
        <v>122</v>
      </c>
    </row>
    <row r="48" spans="1:4" ht="48" x14ac:dyDescent="0.2">
      <c r="A48" s="53" t="s">
        <v>123</v>
      </c>
      <c r="B48" s="33" t="s">
        <v>124</v>
      </c>
      <c r="C48" s="47" t="s">
        <v>125</v>
      </c>
    </row>
    <row r="49" spans="1:4" ht="42" customHeight="1" x14ac:dyDescent="0.2">
      <c r="A49" s="54" t="s">
        <v>126</v>
      </c>
      <c r="B49" s="34" t="s">
        <v>127</v>
      </c>
      <c r="C49" s="48" t="s">
        <v>128</v>
      </c>
    </row>
    <row r="50" spans="1:4" ht="42" customHeight="1" x14ac:dyDescent="0.2">
      <c r="A50" s="55" t="s">
        <v>129</v>
      </c>
      <c r="B50" s="35" t="s">
        <v>130</v>
      </c>
      <c r="C50" s="50" t="s">
        <v>131</v>
      </c>
    </row>
    <row r="51" spans="1:4" ht="8" customHeight="1" x14ac:dyDescent="0.2">
      <c r="A51" s="42"/>
      <c r="B51" s="42"/>
      <c r="C51" s="42"/>
      <c r="D51" s="42"/>
    </row>
    <row r="52" spans="1:4" ht="8" customHeight="1" x14ac:dyDescent="0.2">
      <c r="A52" s="42"/>
      <c r="B52" s="42"/>
      <c r="C52" s="42"/>
      <c r="D52" s="42"/>
    </row>
    <row r="53" spans="1:4" ht="32" customHeight="1" x14ac:dyDescent="0.2">
      <c r="A53" s="224" t="s">
        <v>132</v>
      </c>
      <c r="B53" s="225"/>
      <c r="C53" s="225"/>
      <c r="D53" s="225"/>
    </row>
    <row r="54" spans="1:4" ht="8" customHeight="1" thickBot="1" x14ac:dyDescent="0.25">
      <c r="A54" s="43"/>
      <c r="B54" s="43"/>
      <c r="C54" s="43"/>
      <c r="D54" s="43"/>
    </row>
    <row r="55" spans="1:4" ht="26" customHeight="1" x14ac:dyDescent="0.2">
      <c r="A55" s="237" t="s">
        <v>133</v>
      </c>
      <c r="B55" s="238"/>
      <c r="C55" s="238"/>
      <c r="D55" s="239"/>
    </row>
    <row r="56" spans="1:4" ht="80" customHeight="1" x14ac:dyDescent="0.2">
      <c r="A56" s="240" t="s">
        <v>386</v>
      </c>
      <c r="B56" s="241"/>
      <c r="C56" s="241"/>
      <c r="D56" s="242"/>
    </row>
    <row r="57" spans="1:4" ht="8" customHeight="1" x14ac:dyDescent="0.2">
      <c r="A57" s="42"/>
      <c r="B57" s="42"/>
      <c r="C57" s="42"/>
      <c r="D57" s="42"/>
    </row>
    <row r="58" spans="1:4" ht="26" customHeight="1" x14ac:dyDescent="0.2">
      <c r="A58" s="234" t="s">
        <v>134</v>
      </c>
      <c r="B58" s="235"/>
      <c r="C58" s="235"/>
      <c r="D58" s="235"/>
    </row>
    <row r="59" spans="1:4" ht="8" customHeight="1" x14ac:dyDescent="0.2">
      <c r="A59" s="42"/>
      <c r="B59" s="44"/>
      <c r="C59" s="44"/>
      <c r="D59" s="42"/>
    </row>
    <row r="60" spans="1:4" ht="28" customHeight="1" thickBot="1" x14ac:dyDescent="0.25">
      <c r="A60" s="56" t="s">
        <v>135</v>
      </c>
      <c r="B60" s="41" t="s">
        <v>136</v>
      </c>
      <c r="C60" s="41" t="s">
        <v>137</v>
      </c>
      <c r="D60" s="51" t="s">
        <v>138</v>
      </c>
    </row>
    <row r="61" spans="1:4" ht="65" customHeight="1" x14ac:dyDescent="0.2">
      <c r="A61" s="53" t="s">
        <v>139</v>
      </c>
      <c r="B61" s="33" t="s">
        <v>140</v>
      </c>
      <c r="C61" s="33" t="s">
        <v>141</v>
      </c>
      <c r="D61" s="47" t="s">
        <v>142</v>
      </c>
    </row>
    <row r="62" spans="1:4" ht="65" customHeight="1" x14ac:dyDescent="0.2">
      <c r="A62" s="54" t="s">
        <v>143</v>
      </c>
      <c r="B62" s="34" t="s">
        <v>144</v>
      </c>
      <c r="C62" s="34" t="s">
        <v>145</v>
      </c>
      <c r="D62" s="48" t="s">
        <v>146</v>
      </c>
    </row>
    <row r="63" spans="1:4" ht="65" customHeight="1" x14ac:dyDescent="0.2">
      <c r="A63" s="57" t="s">
        <v>462</v>
      </c>
      <c r="B63" s="36" t="s">
        <v>456</v>
      </c>
      <c r="C63" s="36" t="s">
        <v>457</v>
      </c>
      <c r="D63" s="49" t="s">
        <v>458</v>
      </c>
    </row>
    <row r="64" spans="1:4" ht="65" customHeight="1" x14ac:dyDescent="0.2">
      <c r="A64" s="54" t="s">
        <v>147</v>
      </c>
      <c r="B64" s="34" t="s">
        <v>526</v>
      </c>
      <c r="C64" s="34" t="s">
        <v>383</v>
      </c>
      <c r="D64" s="48" t="s">
        <v>148</v>
      </c>
    </row>
    <row r="65" spans="1:4" ht="65" customHeight="1" x14ac:dyDescent="0.2">
      <c r="A65" s="57" t="s">
        <v>149</v>
      </c>
      <c r="B65" s="36" t="s">
        <v>150</v>
      </c>
      <c r="C65" s="36" t="s">
        <v>459</v>
      </c>
      <c r="D65" s="49" t="s">
        <v>151</v>
      </c>
    </row>
    <row r="66" spans="1:4" ht="8" customHeight="1" x14ac:dyDescent="0.2">
      <c r="A66" s="42"/>
      <c r="B66" s="42"/>
      <c r="C66" s="42"/>
      <c r="D66" s="42"/>
    </row>
    <row r="67" spans="1:4" ht="26" customHeight="1" x14ac:dyDescent="0.2">
      <c r="A67" s="235" t="s">
        <v>152</v>
      </c>
      <c r="B67" s="235"/>
      <c r="C67" s="235"/>
      <c r="D67" s="235"/>
    </row>
    <row r="68" spans="1:4" ht="8" customHeight="1" x14ac:dyDescent="0.2">
      <c r="A68" s="45"/>
      <c r="B68" s="45"/>
      <c r="C68" s="45"/>
      <c r="D68" s="45"/>
    </row>
    <row r="69" spans="1:4" ht="36" customHeight="1" x14ac:dyDescent="0.2">
      <c r="A69" s="243" t="s">
        <v>153</v>
      </c>
      <c r="B69" s="244"/>
      <c r="C69" s="244"/>
      <c r="D69" s="245"/>
    </row>
    <row r="70" spans="1:4" ht="8" customHeight="1" x14ac:dyDescent="0.2">
      <c r="A70" s="42"/>
      <c r="B70" s="42"/>
      <c r="C70" s="42"/>
      <c r="D70" s="42"/>
    </row>
    <row r="71" spans="1:4" ht="22" customHeight="1" x14ac:dyDescent="0.2">
      <c r="A71" s="246" t="s">
        <v>154</v>
      </c>
      <c r="B71" s="246"/>
      <c r="C71" s="246"/>
      <c r="D71" s="246"/>
    </row>
    <row r="72" spans="1:4" ht="8" customHeight="1" x14ac:dyDescent="0.2">
      <c r="A72" s="42"/>
      <c r="B72" s="42"/>
      <c r="C72" s="42"/>
      <c r="D72" s="42"/>
    </row>
    <row r="73" spans="1:4" ht="22" customHeight="1" x14ac:dyDescent="0.2">
      <c r="A73" s="247" t="s">
        <v>155</v>
      </c>
      <c r="B73" s="247"/>
      <c r="C73" s="247"/>
      <c r="D73" s="247"/>
    </row>
    <row r="74" spans="1:4" ht="22" customHeight="1" x14ac:dyDescent="0.2">
      <c r="A74" s="248" t="s">
        <v>156</v>
      </c>
      <c r="B74" s="248"/>
      <c r="C74" s="248"/>
      <c r="D74" s="248"/>
    </row>
    <row r="75" spans="1:4" ht="22" customHeight="1" x14ac:dyDescent="0.2">
      <c r="A75" s="247" t="s">
        <v>157</v>
      </c>
      <c r="B75" s="247"/>
      <c r="C75" s="247"/>
      <c r="D75" s="247"/>
    </row>
    <row r="76" spans="1:4" ht="26" customHeight="1" x14ac:dyDescent="0.2">
      <c r="A76" s="235" t="s">
        <v>463</v>
      </c>
      <c r="B76" s="235"/>
      <c r="C76" s="235"/>
      <c r="D76" s="235"/>
    </row>
    <row r="77" spans="1:4" ht="41" customHeight="1" x14ac:dyDescent="0.2">
      <c r="A77" s="255" t="s">
        <v>465</v>
      </c>
      <c r="B77" s="255"/>
      <c r="C77" s="255"/>
      <c r="D77" s="255"/>
    </row>
    <row r="78" spans="1:4" x14ac:dyDescent="0.2">
      <c r="A78" s="256"/>
      <c r="B78" s="257"/>
      <c r="C78" s="257"/>
      <c r="D78" s="257"/>
    </row>
    <row r="79" spans="1:4" ht="26" customHeight="1" x14ac:dyDescent="0.2">
      <c r="A79" s="249" t="s">
        <v>158</v>
      </c>
      <c r="B79" s="250"/>
      <c r="C79" s="250"/>
      <c r="D79" s="251"/>
    </row>
    <row r="80" spans="1:4" ht="80" customHeight="1" x14ac:dyDescent="0.2">
      <c r="A80" s="252" t="s">
        <v>276</v>
      </c>
      <c r="B80" s="253"/>
      <c r="C80" s="253"/>
      <c r="D80" s="254"/>
    </row>
    <row r="81" spans="1:4" ht="8" customHeight="1" x14ac:dyDescent="0.2">
      <c r="A81" s="128"/>
      <c r="B81" s="128"/>
      <c r="C81" s="128"/>
      <c r="D81" s="128"/>
    </row>
    <row r="82" spans="1:4" ht="32" customHeight="1" x14ac:dyDescent="0.2">
      <c r="A82" s="236" t="s">
        <v>159</v>
      </c>
      <c r="B82" s="236"/>
      <c r="C82" s="236"/>
      <c r="D82" s="236"/>
    </row>
    <row r="83" spans="1:4" ht="8" customHeight="1" x14ac:dyDescent="0.2">
      <c r="A83" s="129"/>
      <c r="B83" s="129"/>
      <c r="C83" s="129"/>
      <c r="D83" s="129"/>
    </row>
    <row r="84" spans="1:4" ht="60" customHeight="1" x14ac:dyDescent="0.2">
      <c r="A84" s="261" t="s">
        <v>416</v>
      </c>
      <c r="B84" s="262"/>
      <c r="C84" s="262"/>
      <c r="D84" s="263"/>
    </row>
    <row r="85" spans="1:4" ht="8" customHeight="1" x14ac:dyDescent="0.2">
      <c r="A85" s="128"/>
      <c r="B85" s="128"/>
      <c r="C85" s="128"/>
      <c r="D85" s="128"/>
    </row>
    <row r="86" spans="1:4" ht="22" customHeight="1" x14ac:dyDescent="0.2">
      <c r="A86" s="264" t="s">
        <v>160</v>
      </c>
      <c r="B86" s="264"/>
      <c r="C86" s="264"/>
      <c r="D86" s="264"/>
    </row>
    <row r="87" spans="1:4" ht="8" customHeight="1" x14ac:dyDescent="0.2">
      <c r="A87" s="128"/>
      <c r="B87" s="128"/>
      <c r="C87" s="128"/>
      <c r="D87" s="128"/>
    </row>
    <row r="88" spans="1:4" ht="36" customHeight="1" x14ac:dyDescent="0.2">
      <c r="A88" s="265" t="s">
        <v>161</v>
      </c>
      <c r="B88" s="265"/>
      <c r="C88" s="265"/>
      <c r="D88" s="265"/>
    </row>
    <row r="89" spans="1:4" ht="36" customHeight="1" x14ac:dyDescent="0.2">
      <c r="A89" s="266" t="s">
        <v>162</v>
      </c>
      <c r="B89" s="266"/>
      <c r="C89" s="266"/>
      <c r="D89" s="266"/>
    </row>
    <row r="90" spans="1:4" ht="36" customHeight="1" x14ac:dyDescent="0.2">
      <c r="A90" s="265" t="s">
        <v>163</v>
      </c>
      <c r="B90" s="265"/>
      <c r="C90" s="265"/>
      <c r="D90" s="265"/>
    </row>
    <row r="91" spans="1:4" ht="8" customHeight="1" x14ac:dyDescent="0.2">
      <c r="A91" s="128"/>
      <c r="B91" s="128"/>
      <c r="C91" s="128"/>
      <c r="D91" s="128"/>
    </row>
    <row r="92" spans="1:4" ht="20" customHeight="1" thickBot="1" x14ac:dyDescent="0.25">
      <c r="A92" s="267" t="s">
        <v>164</v>
      </c>
      <c r="B92" s="267"/>
      <c r="C92" s="267"/>
      <c r="D92" s="267"/>
    </row>
    <row r="93" spans="1:4" ht="20" customHeight="1" x14ac:dyDescent="0.2">
      <c r="A93" s="258" t="s">
        <v>455</v>
      </c>
      <c r="B93" s="258"/>
      <c r="C93" s="258"/>
      <c r="D93" s="258"/>
    </row>
    <row r="94" spans="1:4" ht="20" customHeight="1" x14ac:dyDescent="0.2">
      <c r="A94" s="259" t="s">
        <v>282</v>
      </c>
      <c r="B94" s="259"/>
      <c r="C94" s="259"/>
      <c r="D94" s="259"/>
    </row>
    <row r="95" spans="1:4" ht="20" customHeight="1" x14ac:dyDescent="0.2">
      <c r="A95" s="260" t="s">
        <v>283</v>
      </c>
      <c r="B95" s="260"/>
      <c r="C95" s="260"/>
      <c r="D95" s="260"/>
    </row>
  </sheetData>
  <mergeCells count="36">
    <mergeCell ref="A93:D93"/>
    <mergeCell ref="A94:D94"/>
    <mergeCell ref="A95:D95"/>
    <mergeCell ref="A84:D84"/>
    <mergeCell ref="A86:D86"/>
    <mergeCell ref="A88:D88"/>
    <mergeCell ref="A89:D89"/>
    <mergeCell ref="A90:D90"/>
    <mergeCell ref="A92:D92"/>
    <mergeCell ref="A82:D82"/>
    <mergeCell ref="A55:D55"/>
    <mergeCell ref="A56:D56"/>
    <mergeCell ref="A58:D58"/>
    <mergeCell ref="A67:D67"/>
    <mergeCell ref="A69:D69"/>
    <mergeCell ref="A71:D71"/>
    <mergeCell ref="A73:D73"/>
    <mergeCell ref="A74:D74"/>
    <mergeCell ref="A75:D75"/>
    <mergeCell ref="A79:D79"/>
    <mergeCell ref="A80:D80"/>
    <mergeCell ref="A76:D76"/>
    <mergeCell ref="A77:D77"/>
    <mergeCell ref="A78:D78"/>
    <mergeCell ref="A53:D53"/>
    <mergeCell ref="A1:D1"/>
    <mergeCell ref="A3:D3"/>
    <mergeCell ref="A5:D5"/>
    <mergeCell ref="A7:D7"/>
    <mergeCell ref="A9:D9"/>
    <mergeCell ref="A11:D11"/>
    <mergeCell ref="A22:D22"/>
    <mergeCell ref="A24:D24"/>
    <mergeCell ref="A31:D31"/>
    <mergeCell ref="A38:D38"/>
    <mergeCell ref="A45:D45"/>
  </mergeCells>
  <hyperlinks>
    <hyperlink ref="A7" r:id="rId1" xr:uid="{AE7DFB3D-A219-D34C-8AF5-0187FD13EE97}"/>
    <hyperlink ref="A92" r:id="rId2" location="burden-of-proof-and-accountability-framework" xr:uid="{A99B1CD3-9883-304B-AACC-9CB44E0D3BDC}"/>
    <hyperlink ref="A9:D9" r:id="rId3" display="Repository: https://github.com/paulrekaris/TGA-COVID19-Vaccine-Safety-Monitoring-Audit" xr:uid="{623E4E30-0544-104F-A7C3-7A3FA1E66CE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31EB5-E1FA-4C4A-B52E-BBAB7FC0DF08}">
  <dimension ref="A1:E136"/>
  <sheetViews>
    <sheetView zoomScaleNormal="100" workbookViewId="0">
      <pane ySplit="1" topLeftCell="A96" activePane="bottomLeft" state="frozen"/>
      <selection pane="bottomLeft" activeCell="B137" sqref="B137"/>
    </sheetView>
  </sheetViews>
  <sheetFormatPr baseColWidth="10" defaultColWidth="10.83203125" defaultRowHeight="16" x14ac:dyDescent="0.2"/>
  <cols>
    <col min="1" max="1" width="58.33203125" style="150" customWidth="1"/>
    <col min="2" max="2" width="52" style="181" customWidth="1"/>
    <col min="3" max="3" width="46.6640625" style="150" customWidth="1"/>
    <col min="4" max="4" width="41.6640625" style="150" customWidth="1"/>
    <col min="5" max="5" width="50" style="150" customWidth="1"/>
    <col min="6" max="16384" width="10.83203125" style="150"/>
  </cols>
  <sheetData>
    <row r="1" spans="1:5" ht="26" x14ac:dyDescent="0.2">
      <c r="A1" s="297" t="s">
        <v>277</v>
      </c>
      <c r="B1" s="297"/>
      <c r="C1" s="297"/>
      <c r="D1" s="297"/>
      <c r="E1" s="297"/>
    </row>
    <row r="2" spans="1:5" ht="7.5" customHeight="1" x14ac:dyDescent="0.2">
      <c r="A2" s="151"/>
      <c r="B2" s="152"/>
      <c r="C2" s="151"/>
      <c r="D2" s="151"/>
      <c r="E2" s="151"/>
    </row>
    <row r="3" spans="1:5" ht="31.5" customHeight="1" thickBot="1" x14ac:dyDescent="0.25">
      <c r="A3" s="292" t="s">
        <v>166</v>
      </c>
      <c r="B3" s="292"/>
      <c r="C3" s="292"/>
      <c r="D3" s="292"/>
      <c r="E3" s="292"/>
    </row>
    <row r="4" spans="1:5" ht="7.5" customHeight="1" x14ac:dyDescent="0.2">
      <c r="A4" s="153"/>
      <c r="B4" s="154"/>
      <c r="C4" s="153"/>
      <c r="D4" s="153"/>
      <c r="E4" s="153"/>
    </row>
    <row r="5" spans="1:5" ht="36" customHeight="1" x14ac:dyDescent="0.2">
      <c r="A5" s="298" t="s">
        <v>321</v>
      </c>
      <c r="B5" s="298"/>
      <c r="C5" s="298"/>
      <c r="D5" s="298"/>
      <c r="E5" s="298"/>
    </row>
    <row r="6" spans="1:5" ht="7.5" customHeight="1" x14ac:dyDescent="0.2">
      <c r="A6" s="151"/>
      <c r="B6" s="152"/>
      <c r="C6" s="151"/>
      <c r="D6" s="151"/>
      <c r="E6" s="151"/>
    </row>
    <row r="7" spans="1:5" ht="7.5" customHeight="1" x14ac:dyDescent="0.2">
      <c r="A7" s="151"/>
      <c r="B7" s="152"/>
      <c r="C7" s="151"/>
      <c r="D7" s="151"/>
      <c r="E7" s="151"/>
    </row>
    <row r="8" spans="1:5" ht="7.5" customHeight="1" x14ac:dyDescent="0.2">
      <c r="A8" s="151"/>
      <c r="B8" s="152"/>
      <c r="C8" s="151"/>
      <c r="D8" s="151"/>
      <c r="E8" s="151"/>
    </row>
    <row r="9" spans="1:5" ht="31.5" customHeight="1" thickBot="1" x14ac:dyDescent="0.25">
      <c r="A9" s="292" t="s">
        <v>167</v>
      </c>
      <c r="B9" s="292"/>
      <c r="C9" s="292"/>
      <c r="D9" s="292"/>
      <c r="E9" s="292"/>
    </row>
    <row r="10" spans="1:5" ht="7.5" customHeight="1" x14ac:dyDescent="0.2">
      <c r="A10" s="153"/>
      <c r="B10" s="154"/>
      <c r="C10" s="153"/>
      <c r="D10" s="153"/>
      <c r="E10" s="153"/>
    </row>
    <row r="11" spans="1:5" ht="16.5" customHeight="1" thickBot="1" x14ac:dyDescent="0.25">
      <c r="A11" s="155" t="s">
        <v>168</v>
      </c>
      <c r="B11" s="156" t="s">
        <v>169</v>
      </c>
      <c r="C11" s="157" t="s">
        <v>170</v>
      </c>
      <c r="D11" s="157" t="s">
        <v>171</v>
      </c>
      <c r="E11" s="158" t="s">
        <v>172</v>
      </c>
    </row>
    <row r="12" spans="1:5" ht="79.5" customHeight="1" x14ac:dyDescent="0.2">
      <c r="A12" s="159" t="s">
        <v>269</v>
      </c>
      <c r="B12" s="160" t="s">
        <v>173</v>
      </c>
      <c r="C12" s="161" t="s">
        <v>174</v>
      </c>
      <c r="D12" s="161" t="s">
        <v>175</v>
      </c>
      <c r="E12" s="162" t="s">
        <v>449</v>
      </c>
    </row>
    <row r="13" spans="1:5" ht="96" customHeight="1" x14ac:dyDescent="0.2">
      <c r="A13" s="163" t="s">
        <v>280</v>
      </c>
      <c r="B13" s="164" t="s">
        <v>177</v>
      </c>
      <c r="C13" s="165" t="s">
        <v>442</v>
      </c>
      <c r="D13" s="165" t="s">
        <v>178</v>
      </c>
      <c r="E13" s="166" t="s">
        <v>450</v>
      </c>
    </row>
    <row r="14" spans="1:5" ht="96.75" customHeight="1" thickBot="1" x14ac:dyDescent="0.25">
      <c r="A14" s="167" t="s">
        <v>274</v>
      </c>
      <c r="B14" s="168" t="s">
        <v>179</v>
      </c>
      <c r="C14" s="169" t="s">
        <v>427</v>
      </c>
      <c r="D14" s="169" t="s">
        <v>428</v>
      </c>
      <c r="E14" s="210" t="s">
        <v>516</v>
      </c>
    </row>
    <row r="15" spans="1:5" ht="7.5" customHeight="1" x14ac:dyDescent="0.2">
      <c r="A15" s="153"/>
      <c r="B15" s="154"/>
      <c r="C15" s="153"/>
      <c r="D15" s="153"/>
      <c r="E15" s="153"/>
    </row>
    <row r="16" spans="1:5" ht="31.5" customHeight="1" thickBot="1" x14ac:dyDescent="0.25">
      <c r="A16" s="292" t="s">
        <v>180</v>
      </c>
      <c r="B16" s="292"/>
      <c r="C16" s="292"/>
      <c r="D16" s="292"/>
      <c r="E16" s="292"/>
    </row>
    <row r="17" spans="1:5" ht="7.5" customHeight="1" x14ac:dyDescent="0.2">
      <c r="A17" s="153"/>
      <c r="B17" s="154"/>
      <c r="C17" s="153"/>
      <c r="D17" s="153"/>
      <c r="E17" s="153"/>
    </row>
    <row r="18" spans="1:5" x14ac:dyDescent="0.2">
      <c r="A18" s="157" t="s">
        <v>181</v>
      </c>
      <c r="B18" s="170" t="s">
        <v>182</v>
      </c>
      <c r="C18" s="157" t="s">
        <v>183</v>
      </c>
      <c r="D18" s="157"/>
      <c r="E18" s="157"/>
    </row>
    <row r="19" spans="1:5" ht="63.75" customHeight="1" x14ac:dyDescent="0.2">
      <c r="A19" s="171" t="s">
        <v>184</v>
      </c>
      <c r="B19" s="172" t="s">
        <v>185</v>
      </c>
      <c r="C19" s="173" t="s">
        <v>434</v>
      </c>
      <c r="D19" s="151"/>
      <c r="E19" s="151"/>
    </row>
    <row r="20" spans="1:5" ht="84.75" customHeight="1" x14ac:dyDescent="0.2">
      <c r="A20" s="174" t="s">
        <v>186</v>
      </c>
      <c r="B20" s="175" t="s">
        <v>187</v>
      </c>
      <c r="C20" s="174" t="s">
        <v>429</v>
      </c>
      <c r="D20" s="151"/>
      <c r="E20" s="151"/>
    </row>
    <row r="21" spans="1:5" ht="67.5" customHeight="1" x14ac:dyDescent="0.2">
      <c r="A21" s="171" t="s">
        <v>188</v>
      </c>
      <c r="B21" s="172" t="s">
        <v>189</v>
      </c>
      <c r="C21" s="171" t="s">
        <v>389</v>
      </c>
      <c r="D21" s="151"/>
      <c r="E21" s="151"/>
    </row>
    <row r="22" spans="1:5" ht="48" customHeight="1" x14ac:dyDescent="0.2">
      <c r="A22" s="174" t="s">
        <v>190</v>
      </c>
      <c r="B22" s="175" t="s">
        <v>191</v>
      </c>
      <c r="C22" s="176" t="s">
        <v>192</v>
      </c>
      <c r="D22" s="151"/>
      <c r="E22" s="151"/>
    </row>
    <row r="23" spans="1:5" ht="7.5" customHeight="1" x14ac:dyDescent="0.2">
      <c r="A23" s="151"/>
      <c r="B23" s="152"/>
      <c r="C23" s="151"/>
      <c r="D23" s="151"/>
      <c r="E23" s="151"/>
    </row>
    <row r="24" spans="1:5" ht="7.5" customHeight="1" x14ac:dyDescent="0.2">
      <c r="A24" s="151"/>
      <c r="B24" s="152"/>
      <c r="C24" s="151"/>
      <c r="D24" s="151"/>
      <c r="E24" s="151"/>
    </row>
    <row r="25" spans="1:5" ht="31.5" customHeight="1" thickBot="1" x14ac:dyDescent="0.25">
      <c r="A25" s="292" t="s">
        <v>193</v>
      </c>
      <c r="B25" s="292"/>
      <c r="C25" s="292"/>
      <c r="D25" s="292"/>
      <c r="E25" s="292"/>
    </row>
    <row r="26" spans="1:5" ht="7.5" customHeight="1" x14ac:dyDescent="0.2">
      <c r="A26" s="153"/>
      <c r="B26" s="154"/>
      <c r="C26" s="153"/>
      <c r="D26" s="153"/>
      <c r="E26" s="153"/>
    </row>
    <row r="27" spans="1:5" ht="25.5" customHeight="1" x14ac:dyDescent="0.2">
      <c r="A27" s="294" t="s">
        <v>194</v>
      </c>
      <c r="B27" s="294"/>
      <c r="C27" s="294"/>
      <c r="D27" s="294"/>
      <c r="E27" s="294"/>
    </row>
    <row r="28" spans="1:5" ht="7.5" customHeight="1" x14ac:dyDescent="0.2">
      <c r="A28" s="177"/>
      <c r="B28" s="178"/>
      <c r="C28" s="177"/>
      <c r="D28" s="177"/>
      <c r="E28" s="177"/>
    </row>
    <row r="29" spans="1:5" ht="19.5" customHeight="1" x14ac:dyDescent="0.2">
      <c r="A29" s="287" t="s">
        <v>195</v>
      </c>
      <c r="B29" s="287"/>
      <c r="C29" s="287"/>
      <c r="D29" s="287"/>
      <c r="E29" s="287"/>
    </row>
    <row r="30" spans="1:5" ht="19.5" customHeight="1" x14ac:dyDescent="0.2">
      <c r="A30" s="287" t="s">
        <v>196</v>
      </c>
      <c r="B30" s="287"/>
      <c r="C30" s="287"/>
      <c r="D30" s="287"/>
      <c r="E30" s="287"/>
    </row>
    <row r="31" spans="1:5" ht="19.5" customHeight="1" x14ac:dyDescent="0.2">
      <c r="A31" s="296" t="s">
        <v>197</v>
      </c>
      <c r="B31" s="296"/>
      <c r="C31" s="296"/>
      <c r="D31" s="296"/>
      <c r="E31" s="296"/>
    </row>
    <row r="32" spans="1:5" ht="19.5" customHeight="1" x14ac:dyDescent="0.2">
      <c r="A32" s="288" t="s">
        <v>198</v>
      </c>
      <c r="B32" s="288"/>
      <c r="C32" s="288"/>
      <c r="D32" s="288"/>
      <c r="E32" s="288"/>
    </row>
    <row r="33" spans="1:5" ht="19.5" customHeight="1" x14ac:dyDescent="0.2">
      <c r="A33" s="287" t="s">
        <v>199</v>
      </c>
      <c r="B33" s="287"/>
      <c r="C33" s="287"/>
      <c r="D33" s="287"/>
      <c r="E33" s="287"/>
    </row>
    <row r="34" spans="1:5" ht="19.5" customHeight="1" x14ac:dyDescent="0.2">
      <c r="A34" s="287" t="s">
        <v>200</v>
      </c>
      <c r="B34" s="287"/>
      <c r="C34" s="287"/>
      <c r="D34" s="287"/>
      <c r="E34" s="287"/>
    </row>
    <row r="35" spans="1:5" ht="19.5" customHeight="1" x14ac:dyDescent="0.2">
      <c r="A35" s="287" t="s">
        <v>201</v>
      </c>
      <c r="B35" s="287"/>
      <c r="C35" s="287"/>
      <c r="D35" s="287"/>
      <c r="E35" s="287"/>
    </row>
    <row r="36" spans="1:5" ht="19.5" customHeight="1" x14ac:dyDescent="0.2">
      <c r="A36" s="296" t="s">
        <v>202</v>
      </c>
      <c r="B36" s="296"/>
      <c r="C36" s="296"/>
      <c r="D36" s="296"/>
      <c r="E36" s="296"/>
    </row>
    <row r="37" spans="1:5" ht="19.5" customHeight="1" x14ac:dyDescent="0.2">
      <c r="A37" s="288" t="s">
        <v>203</v>
      </c>
      <c r="B37" s="288"/>
      <c r="C37" s="288"/>
      <c r="D37" s="288"/>
      <c r="E37" s="288"/>
    </row>
    <row r="38" spans="1:5" ht="19.5" customHeight="1" x14ac:dyDescent="0.2">
      <c r="A38" s="289" t="s">
        <v>204</v>
      </c>
      <c r="B38" s="289"/>
      <c r="C38" s="289"/>
      <c r="D38" s="289"/>
      <c r="E38" s="289"/>
    </row>
    <row r="39" spans="1:5" ht="19.5" customHeight="1" x14ac:dyDescent="0.2">
      <c r="A39" s="287" t="s">
        <v>205</v>
      </c>
      <c r="B39" s="287"/>
      <c r="C39" s="287"/>
      <c r="D39" s="287"/>
      <c r="E39" s="287"/>
    </row>
    <row r="40" spans="1:5" ht="19.5" customHeight="1" x14ac:dyDescent="0.2">
      <c r="A40" s="287" t="s">
        <v>206</v>
      </c>
      <c r="B40" s="287"/>
      <c r="C40" s="287"/>
      <c r="D40" s="287"/>
      <c r="E40" s="287"/>
    </row>
    <row r="41" spans="1:5" ht="19.5" customHeight="1" x14ac:dyDescent="0.2">
      <c r="A41" s="288" t="s">
        <v>207</v>
      </c>
      <c r="B41" s="288"/>
      <c r="C41" s="288"/>
      <c r="D41" s="288"/>
      <c r="E41" s="288"/>
    </row>
    <row r="42" spans="1:5" ht="19.5" customHeight="1" x14ac:dyDescent="0.2">
      <c r="A42" s="288" t="s">
        <v>208</v>
      </c>
      <c r="B42" s="288"/>
      <c r="C42" s="288"/>
      <c r="D42" s="288"/>
      <c r="E42" s="288"/>
    </row>
    <row r="43" spans="1:5" x14ac:dyDescent="0.2">
      <c r="A43" s="289" t="s">
        <v>209</v>
      </c>
      <c r="B43" s="289"/>
      <c r="C43" s="289"/>
      <c r="D43" s="289"/>
      <c r="E43" s="289"/>
    </row>
    <row r="44" spans="1:5" ht="17" x14ac:dyDescent="0.2">
      <c r="A44" s="179" t="s">
        <v>390</v>
      </c>
      <c r="B44" s="178"/>
      <c r="C44" s="177"/>
      <c r="D44" s="177"/>
      <c r="E44" s="177"/>
    </row>
    <row r="45" spans="1:5" ht="76" thickBot="1" x14ac:dyDescent="0.25">
      <c r="A45" s="180" t="s">
        <v>391</v>
      </c>
    </row>
    <row r="46" spans="1:5" ht="30" customHeight="1" x14ac:dyDescent="0.2">
      <c r="A46" s="182" t="s">
        <v>392</v>
      </c>
    </row>
    <row r="47" spans="1:5" ht="17" thickBot="1" x14ac:dyDescent="0.25">
      <c r="A47" s="151"/>
      <c r="B47" s="152"/>
      <c r="C47" s="151"/>
      <c r="D47" s="151"/>
      <c r="E47" s="151"/>
    </row>
    <row r="48" spans="1:5" ht="16.5" customHeight="1" thickBot="1" x14ac:dyDescent="0.25">
      <c r="A48" s="183" t="s">
        <v>267</v>
      </c>
      <c r="B48" s="184" t="s">
        <v>393</v>
      </c>
      <c r="C48" s="184" t="s">
        <v>394</v>
      </c>
      <c r="D48" s="185" t="s">
        <v>172</v>
      </c>
      <c r="E48" s="186"/>
    </row>
    <row r="49" spans="1:5" ht="96" x14ac:dyDescent="0.2">
      <c r="A49" s="187">
        <v>4</v>
      </c>
      <c r="B49" s="187" t="s">
        <v>395</v>
      </c>
      <c r="C49" s="188" t="s">
        <v>396</v>
      </c>
      <c r="D49" s="188" t="s">
        <v>436</v>
      </c>
    </row>
    <row r="50" spans="1:5" ht="64" x14ac:dyDescent="0.2">
      <c r="A50" s="189">
        <v>3</v>
      </c>
      <c r="B50" s="189" t="s">
        <v>397</v>
      </c>
      <c r="C50" s="190" t="s">
        <v>398</v>
      </c>
      <c r="D50" s="190" t="s">
        <v>437</v>
      </c>
    </row>
    <row r="51" spans="1:5" ht="60" x14ac:dyDescent="0.2">
      <c r="A51" s="191" t="s">
        <v>399</v>
      </c>
      <c r="B51" s="172"/>
      <c r="C51" s="173"/>
      <c r="D51" s="173"/>
    </row>
    <row r="52" spans="1:5" x14ac:dyDescent="0.2">
      <c r="A52" s="177"/>
      <c r="B52" s="178"/>
      <c r="C52" s="177"/>
      <c r="D52" s="177"/>
      <c r="E52" s="177"/>
    </row>
    <row r="53" spans="1:5" ht="20" thickBot="1" x14ac:dyDescent="0.25">
      <c r="A53" s="290" t="s">
        <v>210</v>
      </c>
      <c r="B53" s="290"/>
      <c r="C53" s="290"/>
      <c r="D53" s="290"/>
      <c r="E53" s="290"/>
    </row>
    <row r="54" spans="1:5" x14ac:dyDescent="0.2">
      <c r="A54" s="291" t="s">
        <v>211</v>
      </c>
      <c r="B54" s="291"/>
      <c r="C54" s="291"/>
      <c r="D54" s="291"/>
      <c r="E54" s="291"/>
    </row>
    <row r="55" spans="1:5" ht="31.5" customHeight="1" thickBot="1" x14ac:dyDescent="0.25">
      <c r="A55" s="151"/>
      <c r="B55" s="152"/>
      <c r="C55" s="151"/>
      <c r="D55" s="151"/>
      <c r="E55" s="151"/>
    </row>
    <row r="56" spans="1:5" ht="17" thickBot="1" x14ac:dyDescent="0.25">
      <c r="A56" s="192" t="s">
        <v>212</v>
      </c>
      <c r="B56" s="193" t="s">
        <v>213</v>
      </c>
      <c r="C56" s="194" t="s">
        <v>214</v>
      </c>
      <c r="D56" s="186" t="s">
        <v>215</v>
      </c>
      <c r="E56" s="186"/>
    </row>
    <row r="57" spans="1:5" ht="32" x14ac:dyDescent="0.2">
      <c r="A57" s="171" t="s">
        <v>400</v>
      </c>
      <c r="B57" s="172" t="s">
        <v>216</v>
      </c>
      <c r="C57" s="173" t="s">
        <v>217</v>
      </c>
      <c r="D57" s="173" t="s">
        <v>218</v>
      </c>
    </row>
    <row r="58" spans="1:5" x14ac:dyDescent="0.2">
      <c r="A58" s="174" t="s">
        <v>401</v>
      </c>
      <c r="B58" s="175" t="s">
        <v>219</v>
      </c>
      <c r="C58" s="176" t="s">
        <v>220</v>
      </c>
      <c r="D58" s="176" t="s">
        <v>221</v>
      </c>
    </row>
    <row r="59" spans="1:5" ht="32" x14ac:dyDescent="0.2">
      <c r="A59" s="171" t="s">
        <v>402</v>
      </c>
      <c r="B59" s="172" t="s">
        <v>222</v>
      </c>
      <c r="C59" s="176" t="s">
        <v>466</v>
      </c>
      <c r="D59" s="176" t="s">
        <v>430</v>
      </c>
    </row>
    <row r="60" spans="1:5" ht="32" x14ac:dyDescent="0.2">
      <c r="A60" s="174" t="s">
        <v>403</v>
      </c>
      <c r="B60" s="175" t="s">
        <v>223</v>
      </c>
      <c r="C60" s="176" t="s">
        <v>224</v>
      </c>
      <c r="D60" s="176" t="s">
        <v>225</v>
      </c>
    </row>
    <row r="61" spans="1:5" ht="30" customHeight="1" x14ac:dyDescent="0.2">
      <c r="A61" s="171" t="s">
        <v>404</v>
      </c>
      <c r="B61" s="172" t="s">
        <v>226</v>
      </c>
      <c r="C61" s="173" t="s">
        <v>227</v>
      </c>
      <c r="D61" s="173" t="s">
        <v>431</v>
      </c>
    </row>
    <row r="62" spans="1:5" x14ac:dyDescent="0.2">
      <c r="A62" s="151"/>
      <c r="B62" s="152"/>
      <c r="C62" s="151"/>
      <c r="D62" s="151"/>
      <c r="E62" s="151"/>
    </row>
    <row r="63" spans="1:5" ht="30" customHeight="1" thickBot="1" x14ac:dyDescent="0.25">
      <c r="A63" s="292" t="s">
        <v>228</v>
      </c>
      <c r="B63" s="292"/>
      <c r="C63" s="292"/>
      <c r="D63" s="292"/>
      <c r="E63" s="292"/>
    </row>
    <row r="64" spans="1:5" ht="7.5" customHeight="1" x14ac:dyDescent="0.2">
      <c r="A64" s="153"/>
      <c r="B64" s="154"/>
      <c r="C64" s="153"/>
      <c r="D64" s="153"/>
      <c r="E64" s="153"/>
    </row>
    <row r="65" spans="1:5" ht="25.5" customHeight="1" x14ac:dyDescent="0.2">
      <c r="A65" s="293" t="s">
        <v>229</v>
      </c>
      <c r="B65" s="293"/>
      <c r="C65" s="293"/>
      <c r="D65" s="293"/>
      <c r="E65" s="293"/>
    </row>
    <row r="66" spans="1:5" ht="7.5" customHeight="1" x14ac:dyDescent="0.2">
      <c r="A66" s="195"/>
      <c r="B66" s="196"/>
      <c r="C66" s="195"/>
      <c r="D66" s="195"/>
      <c r="E66" s="195"/>
    </row>
    <row r="67" spans="1:5" ht="24" customHeight="1" x14ac:dyDescent="0.2">
      <c r="A67" s="294" t="s">
        <v>230</v>
      </c>
      <c r="B67" s="294"/>
      <c r="C67" s="294"/>
      <c r="D67" s="294"/>
      <c r="E67" s="294"/>
    </row>
    <row r="68" spans="1:5" x14ac:dyDescent="0.2">
      <c r="A68" s="177"/>
      <c r="B68" s="178"/>
      <c r="C68" s="177"/>
      <c r="D68" s="177"/>
      <c r="E68" s="177"/>
    </row>
    <row r="69" spans="1:5" ht="24" customHeight="1" x14ac:dyDescent="0.2">
      <c r="A69" s="286" t="s">
        <v>405</v>
      </c>
      <c r="B69" s="286"/>
      <c r="C69" s="286"/>
      <c r="D69" s="286"/>
      <c r="E69" s="286"/>
    </row>
    <row r="70" spans="1:5" x14ac:dyDescent="0.2">
      <c r="A70" s="295" t="s">
        <v>406</v>
      </c>
      <c r="B70" s="295"/>
      <c r="C70" s="295"/>
      <c r="D70" s="295"/>
      <c r="E70" s="295"/>
    </row>
    <row r="71" spans="1:5" x14ac:dyDescent="0.2">
      <c r="A71" s="286" t="s">
        <v>407</v>
      </c>
      <c r="B71" s="286"/>
      <c r="C71" s="286"/>
      <c r="D71" s="286"/>
      <c r="E71" s="286"/>
    </row>
    <row r="72" spans="1:5" ht="7.5" customHeight="1" x14ac:dyDescent="0.2">
      <c r="A72" s="197"/>
      <c r="B72" s="197"/>
      <c r="C72" s="151"/>
      <c r="D72" s="151"/>
      <c r="E72" s="151"/>
    </row>
    <row r="73" spans="1:5" ht="30" customHeight="1" x14ac:dyDescent="0.2">
      <c r="A73" s="282" t="s">
        <v>231</v>
      </c>
      <c r="B73" s="282"/>
      <c r="C73" s="282"/>
      <c r="D73" s="282"/>
      <c r="E73" s="282"/>
    </row>
    <row r="74" spans="1:5" x14ac:dyDescent="0.2">
      <c r="A74" s="197"/>
      <c r="B74" s="197"/>
      <c r="C74" s="151"/>
      <c r="D74" s="151"/>
      <c r="E74" s="151"/>
    </row>
    <row r="75" spans="1:5" x14ac:dyDescent="0.2">
      <c r="A75" s="278" t="s">
        <v>232</v>
      </c>
      <c r="B75" s="278"/>
      <c r="C75" s="278"/>
      <c r="D75" s="278"/>
      <c r="E75" s="278"/>
    </row>
    <row r="76" spans="1:5" x14ac:dyDescent="0.2">
      <c r="A76" s="283" t="s">
        <v>233</v>
      </c>
      <c r="B76" s="283"/>
      <c r="C76" s="283"/>
      <c r="D76" s="283"/>
      <c r="E76" s="283"/>
    </row>
    <row r="77" spans="1:5" ht="21.75" customHeight="1" x14ac:dyDescent="0.2">
      <c r="A77" s="278" t="s">
        <v>234</v>
      </c>
      <c r="B77" s="278"/>
      <c r="C77" s="278"/>
      <c r="D77" s="278"/>
      <c r="E77" s="278"/>
    </row>
    <row r="78" spans="1:5" ht="7.5" customHeight="1" x14ac:dyDescent="0.2">
      <c r="A78" s="197"/>
      <c r="B78" s="198"/>
      <c r="C78" s="151"/>
      <c r="D78" s="151"/>
      <c r="E78" s="151"/>
    </row>
    <row r="79" spans="1:5" ht="21.75" customHeight="1" thickBot="1" x14ac:dyDescent="0.25">
      <c r="A79" s="284" t="s">
        <v>235</v>
      </c>
      <c r="B79" s="284"/>
      <c r="C79" s="284"/>
      <c r="D79" s="284"/>
      <c r="E79" s="284"/>
    </row>
    <row r="80" spans="1:5" x14ac:dyDescent="0.2">
      <c r="A80" s="199"/>
      <c r="B80" s="200"/>
      <c r="C80" s="153"/>
      <c r="D80" s="153"/>
      <c r="E80" s="153"/>
    </row>
    <row r="81" spans="1:5" ht="21.75" customHeight="1" thickBot="1" x14ac:dyDescent="0.25">
      <c r="A81" s="285" t="s">
        <v>236</v>
      </c>
      <c r="B81" s="285"/>
      <c r="C81" s="285"/>
      <c r="D81" s="285"/>
      <c r="E81" s="285"/>
    </row>
    <row r="82" spans="1:5" ht="7.5" customHeight="1" x14ac:dyDescent="0.2">
      <c r="A82" s="201"/>
      <c r="B82" s="202"/>
      <c r="C82" s="203"/>
      <c r="D82" s="203"/>
      <c r="E82" s="203"/>
    </row>
    <row r="83" spans="1:5" x14ac:dyDescent="0.2">
      <c r="A83" s="276" t="s">
        <v>237</v>
      </c>
      <c r="B83" s="276"/>
      <c r="C83" s="276"/>
      <c r="D83" s="276"/>
      <c r="E83" s="276"/>
    </row>
    <row r="84" spans="1:5" ht="7.5" customHeight="1" x14ac:dyDescent="0.2">
      <c r="A84" s="197"/>
      <c r="B84" s="198"/>
      <c r="C84" s="151"/>
      <c r="D84" s="151"/>
      <c r="E84" s="151"/>
    </row>
    <row r="85" spans="1:5" x14ac:dyDescent="0.2">
      <c r="A85" s="277" t="s">
        <v>238</v>
      </c>
      <c r="B85" s="277"/>
      <c r="C85" s="277"/>
      <c r="D85" s="277"/>
      <c r="E85" s="277"/>
    </row>
    <row r="86" spans="1:5" x14ac:dyDescent="0.2">
      <c r="A86" s="197"/>
      <c r="B86" s="198"/>
      <c r="C86" s="151"/>
      <c r="D86" s="151"/>
      <c r="E86" s="151"/>
    </row>
    <row r="87" spans="1:5" x14ac:dyDescent="0.2">
      <c r="A87" s="278" t="s">
        <v>239</v>
      </c>
      <c r="B87" s="278"/>
      <c r="C87" s="278"/>
      <c r="D87" s="278"/>
      <c r="E87" s="278"/>
    </row>
    <row r="88" spans="1:5" x14ac:dyDescent="0.2">
      <c r="A88" s="278" t="s">
        <v>240</v>
      </c>
      <c r="B88" s="278"/>
      <c r="C88" s="278"/>
      <c r="D88" s="278"/>
      <c r="E88" s="278"/>
    </row>
    <row r="89" spans="1:5" ht="30" customHeight="1" x14ac:dyDescent="0.2">
      <c r="A89" s="278" t="s">
        <v>241</v>
      </c>
      <c r="B89" s="278"/>
      <c r="C89" s="278"/>
      <c r="D89" s="278"/>
      <c r="E89" s="278"/>
    </row>
    <row r="90" spans="1:5" ht="7.5" customHeight="1" x14ac:dyDescent="0.2">
      <c r="A90" s="197"/>
      <c r="B90" s="198"/>
      <c r="C90" s="151"/>
      <c r="D90" s="151"/>
      <c r="E90" s="151"/>
    </row>
    <row r="91" spans="1:5" ht="21.75" customHeight="1" x14ac:dyDescent="0.2">
      <c r="A91" s="270" t="s">
        <v>408</v>
      </c>
      <c r="B91" s="270"/>
      <c r="C91" s="270"/>
      <c r="D91" s="270"/>
      <c r="E91" s="270"/>
    </row>
    <row r="92" spans="1:5" ht="7.5" customHeight="1" x14ac:dyDescent="0.2">
      <c r="A92" s="197"/>
      <c r="B92" s="198"/>
      <c r="C92" s="151"/>
      <c r="D92" s="151"/>
      <c r="E92" s="151"/>
    </row>
    <row r="93" spans="1:5" ht="21.75" customHeight="1" x14ac:dyDescent="0.2">
      <c r="A93" s="280" t="s">
        <v>409</v>
      </c>
      <c r="B93" s="280"/>
      <c r="C93" s="280"/>
      <c r="D93" s="280"/>
      <c r="E93" s="280"/>
    </row>
    <row r="94" spans="1:5" x14ac:dyDescent="0.2">
      <c r="A94" s="197"/>
      <c r="B94" s="198"/>
      <c r="C94" s="151"/>
      <c r="D94" s="151"/>
      <c r="E94" s="151"/>
    </row>
    <row r="95" spans="1:5" ht="21.75" customHeight="1" thickBot="1" x14ac:dyDescent="0.25">
      <c r="A95" s="281" t="s">
        <v>242</v>
      </c>
      <c r="B95" s="281"/>
      <c r="C95" s="281"/>
      <c r="D95" s="281"/>
      <c r="E95" s="281"/>
    </row>
    <row r="96" spans="1:5" ht="7.5" customHeight="1" x14ac:dyDescent="0.2">
      <c r="A96" s="204"/>
      <c r="B96" s="204"/>
      <c r="C96" s="205"/>
      <c r="D96" s="205"/>
      <c r="E96" s="205"/>
    </row>
    <row r="97" spans="1:5" ht="21.75" customHeight="1" x14ac:dyDescent="0.2">
      <c r="A97" s="276" t="s">
        <v>243</v>
      </c>
      <c r="B97" s="276"/>
      <c r="C97" s="276"/>
      <c r="D97" s="276"/>
      <c r="E97" s="276"/>
    </row>
    <row r="98" spans="1:5" ht="7.5" customHeight="1" x14ac:dyDescent="0.2">
      <c r="A98" s="197"/>
      <c r="B98" s="197"/>
      <c r="C98" s="151"/>
      <c r="D98" s="151"/>
      <c r="E98" s="151"/>
    </row>
    <row r="99" spans="1:5" ht="21.75" customHeight="1" x14ac:dyDescent="0.2">
      <c r="A99" s="277" t="s">
        <v>238</v>
      </c>
      <c r="B99" s="277"/>
      <c r="C99" s="277"/>
      <c r="D99" s="277"/>
      <c r="E99" s="277"/>
    </row>
    <row r="100" spans="1:5" x14ac:dyDescent="0.2">
      <c r="A100" s="278" t="s">
        <v>244</v>
      </c>
      <c r="B100" s="278"/>
      <c r="C100" s="278"/>
      <c r="D100" s="278"/>
      <c r="E100" s="278"/>
    </row>
    <row r="101" spans="1:5" x14ac:dyDescent="0.2">
      <c r="A101" s="278" t="s">
        <v>245</v>
      </c>
      <c r="B101" s="278"/>
      <c r="C101" s="278"/>
      <c r="D101" s="278"/>
      <c r="E101" s="278"/>
    </row>
    <row r="102" spans="1:5" x14ac:dyDescent="0.2">
      <c r="A102" s="278" t="s">
        <v>246</v>
      </c>
      <c r="B102" s="278"/>
      <c r="C102" s="278"/>
      <c r="D102" s="278"/>
      <c r="E102" s="278"/>
    </row>
    <row r="103" spans="1:5" ht="21" customHeight="1" x14ac:dyDescent="0.2">
      <c r="A103" s="277" t="s">
        <v>247</v>
      </c>
      <c r="B103" s="277"/>
      <c r="C103" s="277"/>
      <c r="D103" s="277"/>
      <c r="E103" s="277"/>
    </row>
    <row r="104" spans="1:5" x14ac:dyDescent="0.2">
      <c r="A104" s="279" t="s">
        <v>248</v>
      </c>
      <c r="B104" s="279"/>
      <c r="C104" s="279"/>
      <c r="D104" s="279"/>
      <c r="E104" s="279"/>
    </row>
    <row r="105" spans="1:5" x14ac:dyDescent="0.2">
      <c r="A105" s="279" t="s">
        <v>249</v>
      </c>
      <c r="B105" s="279"/>
      <c r="C105" s="279"/>
      <c r="D105" s="279"/>
      <c r="E105" s="279"/>
    </row>
    <row r="106" spans="1:5" x14ac:dyDescent="0.2">
      <c r="A106" s="279" t="s">
        <v>250</v>
      </c>
      <c r="B106" s="279"/>
      <c r="C106" s="279"/>
      <c r="D106" s="279"/>
      <c r="E106" s="279"/>
    </row>
    <row r="107" spans="1:5" x14ac:dyDescent="0.2">
      <c r="A107" s="279" t="s">
        <v>454</v>
      </c>
      <c r="B107" s="279"/>
      <c r="C107" s="279"/>
      <c r="D107" s="279"/>
      <c r="E107" s="279"/>
    </row>
    <row r="108" spans="1:5" ht="7.5" customHeight="1" x14ac:dyDescent="0.2">
      <c r="A108" s="197"/>
      <c r="B108" s="151"/>
      <c r="C108" s="151"/>
      <c r="D108" s="151"/>
      <c r="E108" s="151"/>
    </row>
    <row r="109" spans="1:5" ht="21.75" customHeight="1" x14ac:dyDescent="0.2">
      <c r="A109" s="270" t="s">
        <v>278</v>
      </c>
      <c r="B109" s="270"/>
      <c r="C109" s="270"/>
      <c r="D109" s="270"/>
      <c r="E109" s="270"/>
    </row>
    <row r="110" spans="1:5" ht="7.5" customHeight="1" x14ac:dyDescent="0.2">
      <c r="A110" s="197"/>
      <c r="B110" s="152"/>
      <c r="C110" s="151"/>
      <c r="D110" s="151"/>
      <c r="E110" s="151"/>
    </row>
    <row r="111" spans="1:5" x14ac:dyDescent="0.2">
      <c r="A111" s="274" t="s">
        <v>410</v>
      </c>
      <c r="B111" s="274"/>
      <c r="C111" s="274"/>
      <c r="D111" s="274"/>
      <c r="E111" s="274"/>
    </row>
    <row r="112" spans="1:5" ht="21.75" customHeight="1" x14ac:dyDescent="0.2">
      <c r="A112" s="197"/>
      <c r="B112" s="152"/>
      <c r="C112" s="151"/>
      <c r="D112" s="151"/>
      <c r="E112" s="151"/>
    </row>
    <row r="113" spans="1:5" ht="21.75" customHeight="1" thickBot="1" x14ac:dyDescent="0.25">
      <c r="A113" s="275" t="s">
        <v>251</v>
      </c>
      <c r="B113" s="275"/>
      <c r="C113" s="275"/>
      <c r="D113" s="275"/>
      <c r="E113" s="275"/>
    </row>
    <row r="114" spans="1:5" ht="7.5" customHeight="1" x14ac:dyDescent="0.2">
      <c r="A114" s="206"/>
      <c r="B114" s="207"/>
      <c r="C114" s="207"/>
      <c r="D114" s="207"/>
      <c r="E114" s="207"/>
    </row>
    <row r="115" spans="1:5" ht="21.75" customHeight="1" x14ac:dyDescent="0.2">
      <c r="A115" s="276" t="s">
        <v>252</v>
      </c>
      <c r="B115" s="276"/>
      <c r="C115" s="276"/>
      <c r="D115" s="276"/>
      <c r="E115" s="276"/>
    </row>
    <row r="116" spans="1:5" ht="7.5" customHeight="1" x14ac:dyDescent="0.2">
      <c r="A116" s="197"/>
      <c r="B116" s="151"/>
      <c r="C116" s="151"/>
      <c r="D116" s="151"/>
      <c r="E116" s="151"/>
    </row>
    <row r="117" spans="1:5" ht="24" customHeight="1" x14ac:dyDescent="0.2">
      <c r="A117" s="277" t="s">
        <v>253</v>
      </c>
      <c r="B117" s="277"/>
      <c r="C117" s="277"/>
      <c r="D117" s="277"/>
      <c r="E117" s="277"/>
    </row>
    <row r="118" spans="1:5" ht="24" customHeight="1" x14ac:dyDescent="0.2">
      <c r="A118" s="278" t="s">
        <v>254</v>
      </c>
      <c r="B118" s="278"/>
      <c r="C118" s="278"/>
      <c r="D118" s="278"/>
      <c r="E118" s="278"/>
    </row>
    <row r="119" spans="1:5" ht="24" customHeight="1" x14ac:dyDescent="0.2">
      <c r="A119" s="278" t="s">
        <v>432</v>
      </c>
      <c r="B119" s="278"/>
      <c r="C119" s="278"/>
      <c r="D119" s="278"/>
      <c r="E119" s="278"/>
    </row>
    <row r="120" spans="1:5" ht="24" customHeight="1" x14ac:dyDescent="0.2">
      <c r="A120" s="278" t="s">
        <v>417</v>
      </c>
      <c r="B120" s="278"/>
      <c r="C120" s="278"/>
      <c r="D120" s="278"/>
      <c r="E120" s="278"/>
    </row>
    <row r="121" spans="1:5" x14ac:dyDescent="0.2">
      <c r="A121" s="197"/>
      <c r="B121" s="151"/>
      <c r="C121" s="151"/>
      <c r="D121" s="151"/>
      <c r="E121" s="151"/>
    </row>
    <row r="122" spans="1:5" x14ac:dyDescent="0.2">
      <c r="A122" s="277" t="s">
        <v>255</v>
      </c>
      <c r="B122" s="277"/>
      <c r="C122" s="277"/>
      <c r="D122" s="277"/>
      <c r="E122" s="277"/>
    </row>
    <row r="123" spans="1:5" x14ac:dyDescent="0.2">
      <c r="A123" s="269" t="s">
        <v>517</v>
      </c>
      <c r="B123" s="269"/>
      <c r="C123" s="269"/>
      <c r="D123" s="269"/>
      <c r="E123" s="269"/>
    </row>
    <row r="124" spans="1:5" x14ac:dyDescent="0.2">
      <c r="A124" s="269" t="s">
        <v>433</v>
      </c>
      <c r="B124" s="269"/>
      <c r="C124" s="269"/>
      <c r="D124" s="269"/>
      <c r="E124" s="269"/>
    </row>
    <row r="125" spans="1:5" x14ac:dyDescent="0.2">
      <c r="A125" s="269" t="s">
        <v>256</v>
      </c>
      <c r="B125" s="269"/>
      <c r="C125" s="269"/>
      <c r="D125" s="269"/>
      <c r="E125" s="269"/>
    </row>
    <row r="126" spans="1:5" x14ac:dyDescent="0.2">
      <c r="A126" s="269" t="s">
        <v>257</v>
      </c>
      <c r="B126" s="269"/>
      <c r="C126" s="269"/>
      <c r="D126" s="269"/>
      <c r="E126" s="269"/>
    </row>
    <row r="127" spans="1:5" x14ac:dyDescent="0.2">
      <c r="A127" s="269" t="s">
        <v>258</v>
      </c>
      <c r="B127" s="269"/>
      <c r="C127" s="269"/>
      <c r="D127" s="269"/>
      <c r="E127" s="269"/>
    </row>
    <row r="128" spans="1:5" ht="7.5" customHeight="1" x14ac:dyDescent="0.2">
      <c r="A128" s="197"/>
      <c r="B128" s="151"/>
      <c r="C128" s="151"/>
      <c r="D128" s="151"/>
      <c r="E128" s="151"/>
    </row>
    <row r="129" spans="1:5" x14ac:dyDescent="0.2">
      <c r="A129" s="270" t="s">
        <v>518</v>
      </c>
      <c r="B129" s="270"/>
      <c r="C129" s="270"/>
      <c r="D129" s="270"/>
      <c r="E129" s="270"/>
    </row>
    <row r="130" spans="1:5" ht="19.5" customHeight="1" x14ac:dyDescent="0.2">
      <c r="A130" s="197"/>
      <c r="B130" s="152"/>
      <c r="C130" s="151"/>
      <c r="D130" s="151"/>
      <c r="E130" s="151"/>
    </row>
    <row r="131" spans="1:5" x14ac:dyDescent="0.2">
      <c r="A131" s="271" t="s">
        <v>411</v>
      </c>
      <c r="B131" s="271"/>
      <c r="C131" s="271"/>
      <c r="D131" s="271"/>
      <c r="E131" s="271"/>
    </row>
    <row r="132" spans="1:5" x14ac:dyDescent="0.2">
      <c r="A132" s="197"/>
      <c r="B132" s="152"/>
      <c r="C132" s="151"/>
      <c r="D132" s="151"/>
      <c r="E132" s="151"/>
    </row>
    <row r="133" spans="1:5" ht="15.75" customHeight="1" x14ac:dyDescent="0.2">
      <c r="A133" s="272" t="s">
        <v>412</v>
      </c>
      <c r="B133" s="272"/>
      <c r="C133" s="272"/>
      <c r="D133" s="272"/>
      <c r="E133" s="272"/>
    </row>
    <row r="134" spans="1:5" x14ac:dyDescent="0.2">
      <c r="A134" s="208"/>
      <c r="B134" s="152"/>
      <c r="C134" s="151"/>
      <c r="D134" s="151"/>
      <c r="E134" s="151"/>
    </row>
    <row r="135" spans="1:5" ht="15.75" customHeight="1" x14ac:dyDescent="0.2">
      <c r="A135" s="273" t="s">
        <v>435</v>
      </c>
      <c r="B135" s="273"/>
      <c r="C135" s="273"/>
      <c r="D135" s="273"/>
      <c r="E135" s="273"/>
    </row>
    <row r="136" spans="1:5" ht="15.75" customHeight="1" x14ac:dyDescent="0.2">
      <c r="A136" s="268" t="s">
        <v>413</v>
      </c>
      <c r="B136" s="268"/>
      <c r="C136" s="268"/>
      <c r="D136" s="268"/>
      <c r="E136" s="268"/>
    </row>
  </sheetData>
  <mergeCells count="73">
    <mergeCell ref="A25:E25"/>
    <mergeCell ref="A1:E1"/>
    <mergeCell ref="A3:E3"/>
    <mergeCell ref="A5:E5"/>
    <mergeCell ref="A9:E9"/>
    <mergeCell ref="A16:E16"/>
    <mergeCell ref="A39:E39"/>
    <mergeCell ref="A27:E27"/>
    <mergeCell ref="A29:E29"/>
    <mergeCell ref="A30:E30"/>
    <mergeCell ref="A31:E31"/>
    <mergeCell ref="A32:E32"/>
    <mergeCell ref="A33:E33"/>
    <mergeCell ref="A34:E34"/>
    <mergeCell ref="A35:E35"/>
    <mergeCell ref="A36:E36"/>
    <mergeCell ref="A37:E37"/>
    <mergeCell ref="A38:E38"/>
    <mergeCell ref="A71:E71"/>
    <mergeCell ref="A40:E40"/>
    <mergeCell ref="A41:E41"/>
    <mergeCell ref="A42:E42"/>
    <mergeCell ref="A43:E43"/>
    <mergeCell ref="A53:E53"/>
    <mergeCell ref="A54:E54"/>
    <mergeCell ref="A63:E63"/>
    <mergeCell ref="A65:E65"/>
    <mergeCell ref="A67:E67"/>
    <mergeCell ref="A69:E69"/>
    <mergeCell ref="A70:E70"/>
    <mergeCell ref="A91:E91"/>
    <mergeCell ref="A73:E73"/>
    <mergeCell ref="A75:E75"/>
    <mergeCell ref="A76:E76"/>
    <mergeCell ref="A77:E77"/>
    <mergeCell ref="A79:E79"/>
    <mergeCell ref="A81:E81"/>
    <mergeCell ref="A83:E83"/>
    <mergeCell ref="A85:E85"/>
    <mergeCell ref="A87:E87"/>
    <mergeCell ref="A88:E88"/>
    <mergeCell ref="A89:E89"/>
    <mergeCell ref="A107:E107"/>
    <mergeCell ref="A93:E93"/>
    <mergeCell ref="A95:E95"/>
    <mergeCell ref="A97:E97"/>
    <mergeCell ref="A99:E99"/>
    <mergeCell ref="A100:E100"/>
    <mergeCell ref="A101:E101"/>
    <mergeCell ref="A102:E102"/>
    <mergeCell ref="A103:E103"/>
    <mergeCell ref="A104:E104"/>
    <mergeCell ref="A105:E105"/>
    <mergeCell ref="A106:E106"/>
    <mergeCell ref="A125:E125"/>
    <mergeCell ref="A109:E109"/>
    <mergeCell ref="A111:E111"/>
    <mergeCell ref="A113:E113"/>
    <mergeCell ref="A115:E115"/>
    <mergeCell ref="A117:E117"/>
    <mergeCell ref="A118:E118"/>
    <mergeCell ref="A119:E119"/>
    <mergeCell ref="A120:E120"/>
    <mergeCell ref="A122:E122"/>
    <mergeCell ref="A123:E123"/>
    <mergeCell ref="A124:E124"/>
    <mergeCell ref="A136:E136"/>
    <mergeCell ref="A126:E126"/>
    <mergeCell ref="A127:E127"/>
    <mergeCell ref="A129:E129"/>
    <mergeCell ref="A131:E131"/>
    <mergeCell ref="A133:E133"/>
    <mergeCell ref="A135:E135"/>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E13A2-18BA-FC40-93DE-28193874DDFA}">
  <dimension ref="A1:T23"/>
  <sheetViews>
    <sheetView zoomScale="88" zoomScaleNormal="88" workbookViewId="0">
      <pane xSplit="1" ySplit="2" topLeftCell="B15" activePane="bottomRight" state="frozen"/>
      <selection pane="topRight" activeCell="B1" sqref="B1"/>
      <selection pane="bottomLeft" activeCell="A3" sqref="A3"/>
      <selection pane="bottomRight" activeCell="A23" sqref="A23:XFD23"/>
    </sheetView>
  </sheetViews>
  <sheetFormatPr baseColWidth="10" defaultColWidth="10.6640625" defaultRowHeight="16" x14ac:dyDescent="0.2"/>
  <cols>
    <col min="1" max="1" width="14" style="1" bestFit="1" customWidth="1"/>
    <col min="2" max="2" width="28.33203125" style="1" customWidth="1"/>
    <col min="3" max="3" width="23.33203125" style="1" customWidth="1"/>
    <col min="4" max="4" width="20" style="1" customWidth="1"/>
    <col min="5" max="5" width="13.1640625" style="1" customWidth="1"/>
    <col min="6" max="6" width="51.1640625" style="1" customWidth="1"/>
    <col min="7" max="7" width="54.5" style="1" customWidth="1"/>
    <col min="8" max="8" width="59.1640625" style="1" customWidth="1"/>
    <col min="9" max="9" width="50.6640625" style="1" customWidth="1"/>
    <col min="10" max="16384" width="10.6640625" style="1"/>
  </cols>
  <sheetData>
    <row r="1" spans="1:20" s="127" customFormat="1" ht="27" thickBot="1" x14ac:dyDescent="0.25">
      <c r="A1" s="131" t="s">
        <v>281</v>
      </c>
      <c r="B1" s="132"/>
      <c r="C1" s="132"/>
      <c r="D1" s="132"/>
      <c r="E1" s="132"/>
      <c r="F1" s="132"/>
      <c r="G1" s="132"/>
      <c r="H1" s="132"/>
      <c r="I1" s="133"/>
    </row>
    <row r="2" spans="1:20" s="3" customFormat="1" ht="19" x14ac:dyDescent="0.2">
      <c r="A2" s="11" t="s">
        <v>0</v>
      </c>
      <c r="B2" s="9" t="s">
        <v>292</v>
      </c>
      <c r="C2" s="9" t="s">
        <v>293</v>
      </c>
      <c r="D2" s="9" t="s">
        <v>1</v>
      </c>
      <c r="E2" s="9" t="s">
        <v>2</v>
      </c>
      <c r="F2" s="9" t="s">
        <v>3</v>
      </c>
      <c r="G2" s="9" t="s">
        <v>4</v>
      </c>
      <c r="H2" s="9" t="s">
        <v>5</v>
      </c>
      <c r="I2" s="10" t="s">
        <v>6</v>
      </c>
    </row>
    <row r="3" spans="1:20" ht="85" x14ac:dyDescent="0.2">
      <c r="A3" s="146">
        <v>1.1000000000000001</v>
      </c>
      <c r="B3" s="12" t="s">
        <v>7</v>
      </c>
      <c r="C3" s="13" t="s">
        <v>296</v>
      </c>
      <c r="D3" s="22" t="s">
        <v>269</v>
      </c>
      <c r="E3" s="19">
        <v>1</v>
      </c>
      <c r="F3" s="13" t="s">
        <v>9</v>
      </c>
      <c r="G3" s="13" t="s">
        <v>10</v>
      </c>
      <c r="H3" s="13" t="s">
        <v>11</v>
      </c>
      <c r="I3" s="14" t="s">
        <v>12</v>
      </c>
      <c r="J3" s="2"/>
      <c r="K3" s="2"/>
      <c r="L3" s="2"/>
      <c r="M3" s="2"/>
      <c r="N3" s="2"/>
      <c r="O3" s="2"/>
      <c r="P3" s="2"/>
      <c r="Q3" s="2"/>
      <c r="R3" s="2"/>
      <c r="S3" s="2"/>
      <c r="T3" s="2"/>
    </row>
    <row r="4" spans="1:20" ht="51" x14ac:dyDescent="0.2">
      <c r="A4" s="147">
        <v>1.2</v>
      </c>
      <c r="B4" s="15" t="s">
        <v>13</v>
      </c>
      <c r="C4" s="16" t="s">
        <v>297</v>
      </c>
      <c r="D4" s="22" t="s">
        <v>269</v>
      </c>
      <c r="E4" s="20">
        <v>1</v>
      </c>
      <c r="F4" s="16" t="s">
        <v>14</v>
      </c>
      <c r="G4" s="16" t="s">
        <v>15</v>
      </c>
      <c r="H4" s="16" t="s">
        <v>16</v>
      </c>
      <c r="I4" s="17" t="s">
        <v>17</v>
      </c>
      <c r="J4" s="2"/>
      <c r="K4" s="2"/>
      <c r="L4" s="2"/>
      <c r="M4" s="2"/>
      <c r="N4" s="2"/>
      <c r="O4" s="2"/>
      <c r="P4" s="2"/>
      <c r="Q4" s="2"/>
      <c r="R4" s="2"/>
      <c r="S4" s="2"/>
      <c r="T4" s="2"/>
    </row>
    <row r="5" spans="1:20" ht="85" x14ac:dyDescent="0.2">
      <c r="A5" s="146">
        <v>1.3</v>
      </c>
      <c r="B5" s="12" t="s">
        <v>18</v>
      </c>
      <c r="C5" s="13" t="s">
        <v>317</v>
      </c>
      <c r="D5" s="23" t="s">
        <v>280</v>
      </c>
      <c r="E5" s="19">
        <v>3</v>
      </c>
      <c r="F5" s="13" t="s">
        <v>19</v>
      </c>
      <c r="G5" s="13" t="s">
        <v>20</v>
      </c>
      <c r="H5" s="13" t="s">
        <v>21</v>
      </c>
      <c r="I5" s="14" t="s">
        <v>22</v>
      </c>
      <c r="J5" s="2"/>
      <c r="K5" s="2"/>
      <c r="L5" s="2"/>
      <c r="M5" s="2"/>
      <c r="N5" s="2"/>
      <c r="O5" s="2"/>
      <c r="P5" s="2"/>
      <c r="Q5" s="2"/>
      <c r="R5" s="2"/>
      <c r="S5" s="2"/>
      <c r="T5" s="2"/>
    </row>
    <row r="6" spans="1:20" ht="68" x14ac:dyDescent="0.2">
      <c r="A6" s="147">
        <v>1.4</v>
      </c>
      <c r="B6" s="16" t="s">
        <v>284</v>
      </c>
      <c r="C6" s="16" t="s">
        <v>298</v>
      </c>
      <c r="D6" s="23" t="s">
        <v>280</v>
      </c>
      <c r="E6" s="20">
        <v>3</v>
      </c>
      <c r="F6" s="16" t="s">
        <v>23</v>
      </c>
      <c r="G6" s="16" t="s">
        <v>24</v>
      </c>
      <c r="H6" s="16" t="s">
        <v>25</v>
      </c>
      <c r="I6" s="17" t="s">
        <v>26</v>
      </c>
      <c r="J6" s="2"/>
      <c r="K6" s="2"/>
      <c r="L6" s="2"/>
      <c r="M6" s="2"/>
      <c r="N6" s="2"/>
      <c r="O6" s="2"/>
      <c r="P6" s="2"/>
      <c r="Q6" s="2"/>
      <c r="R6" s="2"/>
      <c r="S6" s="2"/>
      <c r="T6" s="2"/>
    </row>
    <row r="7" spans="1:20" ht="68" x14ac:dyDescent="0.2">
      <c r="A7" s="146">
        <v>1.5</v>
      </c>
      <c r="B7" s="13" t="s">
        <v>285</v>
      </c>
      <c r="C7" s="13" t="s">
        <v>316</v>
      </c>
      <c r="D7" s="23" t="s">
        <v>280</v>
      </c>
      <c r="E7" s="19">
        <v>3</v>
      </c>
      <c r="F7" s="13" t="s">
        <v>23</v>
      </c>
      <c r="G7" s="13" t="s">
        <v>27</v>
      </c>
      <c r="H7" s="13" t="s">
        <v>28</v>
      </c>
      <c r="I7" s="123" t="s">
        <v>29</v>
      </c>
      <c r="J7" s="126"/>
      <c r="K7" s="2"/>
      <c r="L7" s="2"/>
      <c r="M7" s="2"/>
      <c r="N7" s="2"/>
      <c r="O7" s="2"/>
      <c r="P7" s="2"/>
      <c r="Q7" s="2"/>
      <c r="R7" s="2"/>
      <c r="S7" s="2"/>
      <c r="T7" s="2"/>
    </row>
    <row r="8" spans="1:20" ht="119" x14ac:dyDescent="0.2">
      <c r="A8" s="147">
        <v>2.1</v>
      </c>
      <c r="B8" s="16" t="s">
        <v>286</v>
      </c>
      <c r="C8" s="16" t="s">
        <v>299</v>
      </c>
      <c r="D8" s="23" t="s">
        <v>280</v>
      </c>
      <c r="E8" s="20">
        <v>4</v>
      </c>
      <c r="F8" s="16" t="s">
        <v>451</v>
      </c>
      <c r="G8" s="16" t="s">
        <v>468</v>
      </c>
      <c r="H8" s="16" t="s">
        <v>469</v>
      </c>
      <c r="I8" s="16" t="s">
        <v>452</v>
      </c>
      <c r="J8" s="126"/>
      <c r="K8" s="2"/>
      <c r="L8" s="2"/>
      <c r="M8" s="2"/>
      <c r="N8" s="2"/>
      <c r="O8" s="2"/>
      <c r="P8" s="2"/>
      <c r="Q8" s="2"/>
      <c r="R8" s="2"/>
      <c r="S8" s="2"/>
      <c r="T8" s="2"/>
    </row>
    <row r="9" spans="1:20" ht="187" x14ac:dyDescent="0.2">
      <c r="A9" s="146">
        <v>2.2000000000000002</v>
      </c>
      <c r="B9" s="13" t="s">
        <v>287</v>
      </c>
      <c r="C9" s="13" t="s">
        <v>300</v>
      </c>
      <c r="D9" s="23" t="s">
        <v>280</v>
      </c>
      <c r="E9" s="19">
        <v>4</v>
      </c>
      <c r="F9" s="13" t="s">
        <v>443</v>
      </c>
      <c r="G9" s="13" t="s">
        <v>470</v>
      </c>
      <c r="H9" s="13" t="s">
        <v>471</v>
      </c>
      <c r="I9" s="13" t="s">
        <v>444</v>
      </c>
      <c r="J9" s="126"/>
      <c r="K9" s="2"/>
      <c r="L9" s="2"/>
      <c r="M9" s="2"/>
      <c r="N9" s="2"/>
      <c r="O9" s="2"/>
      <c r="P9" s="2"/>
      <c r="Q9" s="2"/>
      <c r="R9" s="2"/>
      <c r="S9" s="2"/>
      <c r="T9" s="2"/>
    </row>
    <row r="10" spans="1:20" ht="272" x14ac:dyDescent="0.2">
      <c r="A10" s="147">
        <v>2.2999999999999998</v>
      </c>
      <c r="B10" s="16" t="s">
        <v>288</v>
      </c>
      <c r="C10" s="16" t="s">
        <v>301</v>
      </c>
      <c r="D10" s="23" t="s">
        <v>280</v>
      </c>
      <c r="E10" s="20">
        <v>4</v>
      </c>
      <c r="F10" s="16" t="s">
        <v>445</v>
      </c>
      <c r="G10" s="98" t="s">
        <v>472</v>
      </c>
      <c r="H10" s="16" t="s">
        <v>473</v>
      </c>
      <c r="I10" s="16" t="s">
        <v>446</v>
      </c>
      <c r="J10" s="126"/>
      <c r="K10" s="2"/>
      <c r="L10" s="2"/>
      <c r="M10" s="2"/>
      <c r="N10" s="2"/>
      <c r="O10" s="2"/>
      <c r="P10" s="2"/>
      <c r="Q10" s="2"/>
      <c r="R10" s="2"/>
      <c r="S10" s="2"/>
      <c r="T10" s="2"/>
    </row>
    <row r="11" spans="1:20" ht="119" x14ac:dyDescent="0.2">
      <c r="A11" s="146">
        <v>2.4</v>
      </c>
      <c r="B11" s="12" t="s">
        <v>31</v>
      </c>
      <c r="C11" s="13" t="s">
        <v>302</v>
      </c>
      <c r="D11" s="23" t="s">
        <v>280</v>
      </c>
      <c r="E11" s="19">
        <v>4</v>
      </c>
      <c r="F11" s="13" t="s">
        <v>419</v>
      </c>
      <c r="G11" s="13" t="s">
        <v>474</v>
      </c>
      <c r="H11" s="13" t="s">
        <v>475</v>
      </c>
      <c r="I11" s="123" t="s">
        <v>476</v>
      </c>
      <c r="J11" s="126"/>
      <c r="K11" s="2"/>
      <c r="L11" s="2"/>
      <c r="M11" s="2"/>
      <c r="N11" s="2"/>
      <c r="O11" s="2"/>
      <c r="P11" s="2"/>
      <c r="Q11" s="2"/>
      <c r="R11" s="2"/>
      <c r="S11" s="2"/>
      <c r="T11" s="2"/>
    </row>
    <row r="12" spans="1:20" ht="85" x14ac:dyDescent="0.2">
      <c r="A12" s="147">
        <v>2.5</v>
      </c>
      <c r="B12" s="15" t="s">
        <v>32</v>
      </c>
      <c r="C12" s="16" t="s">
        <v>303</v>
      </c>
      <c r="D12" s="24" t="s">
        <v>274</v>
      </c>
      <c r="E12" s="20">
        <v>5</v>
      </c>
      <c r="F12" s="16" t="s">
        <v>423</v>
      </c>
      <c r="G12" s="16" t="s">
        <v>478</v>
      </c>
      <c r="H12" s="16" t="s">
        <v>477</v>
      </c>
      <c r="I12" s="122" t="s">
        <v>424</v>
      </c>
      <c r="J12" s="126"/>
      <c r="K12" s="2"/>
      <c r="L12" s="2"/>
      <c r="M12" s="2"/>
      <c r="N12" s="2"/>
      <c r="O12" s="2"/>
      <c r="P12" s="2"/>
      <c r="Q12" s="2"/>
      <c r="R12" s="2"/>
      <c r="S12" s="2"/>
      <c r="T12" s="2"/>
    </row>
    <row r="13" spans="1:20" ht="153" x14ac:dyDescent="0.2">
      <c r="A13" s="146">
        <v>2.6</v>
      </c>
      <c r="B13" s="12" t="s">
        <v>33</v>
      </c>
      <c r="C13" s="13" t="s">
        <v>304</v>
      </c>
      <c r="D13" s="23" t="s">
        <v>280</v>
      </c>
      <c r="E13" s="19">
        <v>3</v>
      </c>
      <c r="F13" s="13" t="s">
        <v>420</v>
      </c>
      <c r="G13" s="13" t="s">
        <v>479</v>
      </c>
      <c r="H13" s="13" t="s">
        <v>480</v>
      </c>
      <c r="I13" s="123" t="s">
        <v>422</v>
      </c>
      <c r="J13" s="126"/>
      <c r="K13" s="2"/>
      <c r="L13" s="2"/>
      <c r="M13" s="2"/>
      <c r="N13" s="2"/>
      <c r="O13" s="2"/>
      <c r="P13" s="2"/>
      <c r="Q13" s="2"/>
      <c r="R13" s="2"/>
      <c r="S13" s="2"/>
      <c r="T13" s="2"/>
    </row>
    <row r="14" spans="1:20" ht="68" x14ac:dyDescent="0.2">
      <c r="A14" s="147">
        <v>2.7</v>
      </c>
      <c r="B14" s="15" t="s">
        <v>34</v>
      </c>
      <c r="C14" s="16" t="s">
        <v>305</v>
      </c>
      <c r="D14" s="23" t="s">
        <v>280</v>
      </c>
      <c r="E14" s="20">
        <v>3</v>
      </c>
      <c r="F14" s="16" t="s">
        <v>35</v>
      </c>
      <c r="G14" s="16" t="s">
        <v>36</v>
      </c>
      <c r="H14" s="16" t="s">
        <v>37</v>
      </c>
      <c r="I14" s="122" t="s">
        <v>38</v>
      </c>
      <c r="J14" s="126"/>
      <c r="K14" s="2"/>
      <c r="L14" s="2"/>
      <c r="M14" s="2"/>
      <c r="N14" s="2"/>
      <c r="O14" s="2"/>
      <c r="P14" s="2"/>
      <c r="Q14" s="2"/>
      <c r="R14" s="2"/>
      <c r="S14" s="2"/>
      <c r="T14" s="2"/>
    </row>
    <row r="15" spans="1:20" ht="119" x14ac:dyDescent="0.2">
      <c r="A15" s="146">
        <v>2.8</v>
      </c>
      <c r="B15" s="12" t="s">
        <v>39</v>
      </c>
      <c r="C15" s="13" t="s">
        <v>306</v>
      </c>
      <c r="D15" s="23" t="s">
        <v>280</v>
      </c>
      <c r="E15" s="19">
        <v>3</v>
      </c>
      <c r="F15" s="13" t="s">
        <v>259</v>
      </c>
      <c r="G15" s="13" t="s">
        <v>261</v>
      </c>
      <c r="H15" s="13" t="s">
        <v>262</v>
      </c>
      <c r="I15" s="123" t="s">
        <v>260</v>
      </c>
      <c r="J15" s="126"/>
      <c r="K15" s="2"/>
      <c r="L15" s="2"/>
      <c r="M15" s="2"/>
      <c r="N15" s="2"/>
      <c r="O15" s="2"/>
      <c r="P15" s="2"/>
      <c r="Q15" s="2"/>
      <c r="R15" s="2"/>
      <c r="S15" s="2"/>
      <c r="T15" s="2"/>
    </row>
    <row r="16" spans="1:20" ht="97" customHeight="1" x14ac:dyDescent="0.2">
      <c r="A16" s="147">
        <v>3.1</v>
      </c>
      <c r="B16" s="16" t="s">
        <v>289</v>
      </c>
      <c r="C16" s="16" t="s">
        <v>307</v>
      </c>
      <c r="D16" s="23" t="s">
        <v>280</v>
      </c>
      <c r="E16" s="28">
        <v>4</v>
      </c>
      <c r="F16" s="16" t="s">
        <v>313</v>
      </c>
      <c r="G16" s="16" t="s">
        <v>314</v>
      </c>
      <c r="H16" s="16" t="s">
        <v>44</v>
      </c>
      <c r="I16" s="122" t="s">
        <v>315</v>
      </c>
      <c r="J16" s="126"/>
      <c r="K16" s="2"/>
      <c r="L16" s="2"/>
      <c r="M16" s="2"/>
      <c r="N16" s="2"/>
      <c r="O16" s="2"/>
      <c r="P16" s="2"/>
      <c r="Q16" s="2"/>
      <c r="R16" s="2"/>
      <c r="S16" s="2"/>
      <c r="T16" s="2"/>
    </row>
    <row r="17" spans="1:20" ht="85" x14ac:dyDescent="0.2">
      <c r="A17" s="146">
        <v>4.0999999999999996</v>
      </c>
      <c r="B17" s="13" t="s">
        <v>290</v>
      </c>
      <c r="C17" s="13" t="s">
        <v>312</v>
      </c>
      <c r="D17" s="22" t="s">
        <v>269</v>
      </c>
      <c r="E17" s="32">
        <v>1</v>
      </c>
      <c r="F17" s="31" t="s">
        <v>40</v>
      </c>
      <c r="G17" s="31" t="s">
        <v>41</v>
      </c>
      <c r="H17" s="31" t="s">
        <v>42</v>
      </c>
      <c r="I17" s="124" t="s">
        <v>43</v>
      </c>
      <c r="J17" s="126"/>
      <c r="K17" s="2"/>
      <c r="L17" s="2"/>
      <c r="M17" s="2"/>
      <c r="N17" s="2"/>
      <c r="O17" s="2"/>
      <c r="P17" s="2"/>
      <c r="Q17" s="2"/>
      <c r="R17" s="2"/>
      <c r="S17" s="2"/>
      <c r="T17" s="2"/>
    </row>
    <row r="18" spans="1:20" ht="68" x14ac:dyDescent="0.2">
      <c r="A18" s="148">
        <v>5.0999999999999996</v>
      </c>
      <c r="B18" s="16" t="s">
        <v>291</v>
      </c>
      <c r="C18" s="16" t="s">
        <v>308</v>
      </c>
      <c r="D18" s="23" t="s">
        <v>280</v>
      </c>
      <c r="E18" s="28">
        <v>3</v>
      </c>
      <c r="F18" s="16" t="s">
        <v>46</v>
      </c>
      <c r="G18" s="16" t="s">
        <v>47</v>
      </c>
      <c r="H18" s="16" t="s">
        <v>48</v>
      </c>
      <c r="I18" s="122" t="s">
        <v>49</v>
      </c>
      <c r="J18" s="126"/>
      <c r="K18" s="2"/>
      <c r="L18" s="2"/>
      <c r="M18" s="2"/>
      <c r="N18" s="2"/>
      <c r="O18" s="2"/>
      <c r="P18" s="2"/>
      <c r="Q18" s="2"/>
      <c r="R18" s="2"/>
      <c r="S18" s="2"/>
      <c r="T18" s="2"/>
    </row>
    <row r="19" spans="1:20" ht="70" x14ac:dyDescent="0.2">
      <c r="A19" s="146">
        <v>5.2</v>
      </c>
      <c r="B19" s="30" t="s">
        <v>50</v>
      </c>
      <c r="C19" s="31" t="s">
        <v>309</v>
      </c>
      <c r="D19" s="23" t="s">
        <v>280</v>
      </c>
      <c r="E19" s="32">
        <v>3</v>
      </c>
      <c r="F19" s="31" t="s">
        <v>51</v>
      </c>
      <c r="G19" s="31" t="s">
        <v>52</v>
      </c>
      <c r="H19" s="31" t="s">
        <v>53</v>
      </c>
      <c r="I19" s="124" t="s">
        <v>54</v>
      </c>
      <c r="J19" s="126"/>
      <c r="K19" s="2"/>
      <c r="L19" s="2"/>
      <c r="M19" s="2"/>
      <c r="N19" s="2"/>
      <c r="O19" s="2"/>
      <c r="P19" s="2"/>
      <c r="Q19" s="2"/>
      <c r="R19" s="2"/>
      <c r="S19" s="2"/>
      <c r="T19" s="2"/>
    </row>
    <row r="20" spans="1:20" ht="68" x14ac:dyDescent="0.2">
      <c r="A20" s="146" t="s">
        <v>55</v>
      </c>
      <c r="B20" s="13" t="s">
        <v>294</v>
      </c>
      <c r="C20" s="13" t="s">
        <v>310</v>
      </c>
      <c r="D20" s="24" t="s">
        <v>274</v>
      </c>
      <c r="E20" s="19">
        <v>5</v>
      </c>
      <c r="F20" s="18" t="s">
        <v>438</v>
      </c>
      <c r="G20" s="18" t="s">
        <v>481</v>
      </c>
      <c r="H20" s="18" t="s">
        <v>440</v>
      </c>
      <c r="I20" s="125" t="s">
        <v>519</v>
      </c>
      <c r="J20" s="126"/>
      <c r="K20" s="2"/>
      <c r="L20" s="2"/>
      <c r="M20" s="2"/>
      <c r="N20" s="2"/>
      <c r="O20" s="2"/>
      <c r="P20" s="2"/>
      <c r="Q20" s="2"/>
      <c r="R20" s="2"/>
      <c r="S20" s="2"/>
      <c r="T20" s="2"/>
    </row>
    <row r="21" spans="1:20" ht="85" x14ac:dyDescent="0.2">
      <c r="A21" s="149" t="s">
        <v>58</v>
      </c>
      <c r="B21" s="18" t="s">
        <v>295</v>
      </c>
      <c r="C21" s="18" t="s">
        <v>311</v>
      </c>
      <c r="D21" s="25" t="s">
        <v>274</v>
      </c>
      <c r="E21" s="21">
        <v>5</v>
      </c>
      <c r="F21" s="211" t="s">
        <v>60</v>
      </c>
      <c r="G21" s="211" t="s">
        <v>522</v>
      </c>
      <c r="H21" s="211" t="s">
        <v>441</v>
      </c>
      <c r="I21" s="212" t="s">
        <v>439</v>
      </c>
      <c r="J21" s="126"/>
      <c r="K21" s="2"/>
      <c r="L21" s="2"/>
      <c r="M21" s="2"/>
      <c r="N21" s="2"/>
      <c r="O21" s="2"/>
      <c r="P21" s="2"/>
      <c r="Q21" s="2"/>
      <c r="R21" s="2"/>
      <c r="S21" s="2"/>
      <c r="T21" s="2"/>
    </row>
    <row r="23" spans="1:20" x14ac:dyDescent="0.2">
      <c r="A23" s="213" t="s">
        <v>524</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70A22-273C-704E-87A8-5748ED730E67}">
  <sheetPr>
    <pageSetUpPr fitToPage="1"/>
  </sheetPr>
  <dimension ref="A1:L23"/>
  <sheetViews>
    <sheetView showGridLines="0" zoomScale="98" zoomScaleNormal="98" workbookViewId="0">
      <pane xSplit="1" ySplit="2" topLeftCell="B15" activePane="bottomRight" state="frozen"/>
      <selection pane="topRight" activeCell="B1" sqref="B1"/>
      <selection pane="bottomLeft" activeCell="A3" sqref="A3"/>
      <selection pane="bottomRight" activeCell="C31" sqref="C31"/>
    </sheetView>
  </sheetViews>
  <sheetFormatPr baseColWidth="10" defaultColWidth="8.33203125" defaultRowHeight="20" customHeight="1" x14ac:dyDescent="0.2"/>
  <cols>
    <col min="1" max="1" width="13.33203125" style="29" customWidth="1"/>
    <col min="2" max="2" width="34.6640625" style="7" customWidth="1"/>
    <col min="3" max="3" width="33.33203125" style="7" customWidth="1"/>
    <col min="4" max="4" width="19.1640625" style="5" customWidth="1"/>
    <col min="5" max="5" width="36.6640625" style="7" customWidth="1"/>
    <col min="6" max="6" width="53.33203125" style="5" customWidth="1"/>
    <col min="7" max="7" width="53.33203125" style="7" customWidth="1"/>
    <col min="8" max="8" width="58.33203125" style="5" customWidth="1"/>
    <col min="9" max="9" width="46.6640625" style="5" customWidth="1"/>
    <col min="10" max="10" width="15.1640625" style="5" customWidth="1"/>
    <col min="11" max="11" width="8.33203125" style="5" customWidth="1"/>
    <col min="12" max="16384" width="8.33203125" style="5"/>
  </cols>
  <sheetData>
    <row r="1" spans="1:12" s="27" customFormat="1" ht="45" customHeight="1" thickBot="1" x14ac:dyDescent="0.25">
      <c r="A1" s="299" t="s">
        <v>279</v>
      </c>
      <c r="B1" s="300"/>
      <c r="C1" s="300"/>
      <c r="D1" s="300"/>
      <c r="E1" s="300"/>
      <c r="F1" s="300"/>
      <c r="G1" s="300"/>
      <c r="H1" s="300"/>
      <c r="I1" s="300"/>
      <c r="J1" s="300"/>
      <c r="K1" s="26"/>
    </row>
    <row r="2" spans="1:12" s="121" customFormat="1" ht="35" customHeight="1" x14ac:dyDescent="0.2">
      <c r="A2" s="115" t="s">
        <v>334</v>
      </c>
      <c r="B2" s="116" t="s">
        <v>333</v>
      </c>
      <c r="C2" s="117" t="s">
        <v>263</v>
      </c>
      <c r="D2" s="117" t="s">
        <v>1</v>
      </c>
      <c r="E2" s="117" t="s">
        <v>264</v>
      </c>
      <c r="F2" s="117" t="s">
        <v>265</v>
      </c>
      <c r="G2" s="117" t="s">
        <v>5</v>
      </c>
      <c r="H2" s="117" t="s">
        <v>266</v>
      </c>
      <c r="I2" s="118" t="s">
        <v>6</v>
      </c>
      <c r="J2" s="119" t="s">
        <v>267</v>
      </c>
      <c r="K2" s="120"/>
    </row>
    <row r="3" spans="1:12" s="6" customFormat="1" ht="100" customHeight="1" x14ac:dyDescent="0.2">
      <c r="A3" s="144">
        <v>1.1000000000000001</v>
      </c>
      <c r="B3" s="93" t="s">
        <v>7</v>
      </c>
      <c r="C3" s="94" t="s">
        <v>268</v>
      </c>
      <c r="D3" s="95" t="s">
        <v>269</v>
      </c>
      <c r="E3" s="94" t="s">
        <v>9</v>
      </c>
      <c r="F3" s="94" t="s">
        <v>10</v>
      </c>
      <c r="G3" s="94" t="s">
        <v>11</v>
      </c>
      <c r="H3" s="94" t="s">
        <v>485</v>
      </c>
      <c r="I3" s="96" t="s">
        <v>12</v>
      </c>
      <c r="J3" s="109" t="s">
        <v>336</v>
      </c>
      <c r="K3" s="8"/>
      <c r="L3" s="8"/>
    </row>
    <row r="4" spans="1:12" s="6" customFormat="1" ht="100" customHeight="1" x14ac:dyDescent="0.2">
      <c r="A4" s="145">
        <v>1.2</v>
      </c>
      <c r="B4" s="97" t="s">
        <v>13</v>
      </c>
      <c r="C4" s="98" t="s">
        <v>268</v>
      </c>
      <c r="D4" s="95" t="s">
        <v>269</v>
      </c>
      <c r="E4" s="98" t="s">
        <v>14</v>
      </c>
      <c r="F4" s="98" t="s">
        <v>15</v>
      </c>
      <c r="G4" s="98" t="s">
        <v>16</v>
      </c>
      <c r="H4" s="98" t="s">
        <v>486</v>
      </c>
      <c r="I4" s="99" t="s">
        <v>17</v>
      </c>
      <c r="J4" s="110" t="s">
        <v>336</v>
      </c>
      <c r="K4" s="8"/>
      <c r="L4" s="8"/>
    </row>
    <row r="5" spans="1:12" s="6" customFormat="1" ht="100" customHeight="1" x14ac:dyDescent="0.2">
      <c r="A5" s="144">
        <v>1.3</v>
      </c>
      <c r="B5" s="93" t="s">
        <v>18</v>
      </c>
      <c r="C5" s="94" t="s">
        <v>268</v>
      </c>
      <c r="D5" s="100" t="s">
        <v>280</v>
      </c>
      <c r="E5" s="94" t="s">
        <v>19</v>
      </c>
      <c r="F5" s="94" t="s">
        <v>20</v>
      </c>
      <c r="G5" s="94" t="s">
        <v>21</v>
      </c>
      <c r="H5" s="94" t="s">
        <v>487</v>
      </c>
      <c r="I5" s="96" t="s">
        <v>22</v>
      </c>
      <c r="J5" s="109" t="s">
        <v>271</v>
      </c>
      <c r="K5" s="8"/>
      <c r="L5" s="8"/>
    </row>
    <row r="6" spans="1:12" s="6" customFormat="1" ht="100" customHeight="1" x14ac:dyDescent="0.2">
      <c r="A6" s="145">
        <v>1.4</v>
      </c>
      <c r="B6" s="97" t="s">
        <v>284</v>
      </c>
      <c r="C6" s="98" t="s">
        <v>268</v>
      </c>
      <c r="D6" s="100" t="s">
        <v>280</v>
      </c>
      <c r="E6" s="98" t="s">
        <v>23</v>
      </c>
      <c r="F6" s="98" t="s">
        <v>24</v>
      </c>
      <c r="G6" s="98" t="s">
        <v>25</v>
      </c>
      <c r="H6" s="98" t="s">
        <v>488</v>
      </c>
      <c r="I6" s="99" t="s">
        <v>26</v>
      </c>
      <c r="J6" s="110" t="s">
        <v>271</v>
      </c>
      <c r="K6" s="8"/>
      <c r="L6" s="8"/>
    </row>
    <row r="7" spans="1:12" s="6" customFormat="1" ht="100" customHeight="1" x14ac:dyDescent="0.2">
      <c r="A7" s="144">
        <v>1.5</v>
      </c>
      <c r="B7" s="93" t="s">
        <v>285</v>
      </c>
      <c r="C7" s="94" t="s">
        <v>268</v>
      </c>
      <c r="D7" s="100" t="s">
        <v>280</v>
      </c>
      <c r="E7" s="94" t="s">
        <v>23</v>
      </c>
      <c r="F7" s="94" t="s">
        <v>27</v>
      </c>
      <c r="G7" s="94" t="s">
        <v>28</v>
      </c>
      <c r="H7" s="94" t="s">
        <v>489</v>
      </c>
      <c r="I7" s="96" t="s">
        <v>29</v>
      </c>
      <c r="J7" s="111" t="s">
        <v>271</v>
      </c>
      <c r="K7" s="8"/>
      <c r="L7" s="8"/>
    </row>
    <row r="8" spans="1:12" s="6" customFormat="1" ht="119" x14ac:dyDescent="0.2">
      <c r="A8" s="145">
        <v>2.1</v>
      </c>
      <c r="B8" s="97" t="s">
        <v>286</v>
      </c>
      <c r="C8" s="98" t="s">
        <v>272</v>
      </c>
      <c r="D8" s="100" t="s">
        <v>280</v>
      </c>
      <c r="E8" s="98" t="s">
        <v>453</v>
      </c>
      <c r="F8" s="98" t="s">
        <v>468</v>
      </c>
      <c r="G8" s="98" t="s">
        <v>469</v>
      </c>
      <c r="H8" s="99" t="s">
        <v>490</v>
      </c>
      <c r="I8" s="99" t="s">
        <v>452</v>
      </c>
      <c r="J8" s="110" t="s">
        <v>273</v>
      </c>
      <c r="K8" s="8"/>
      <c r="L8" s="8"/>
    </row>
    <row r="9" spans="1:12" s="6" customFormat="1" ht="204" x14ac:dyDescent="0.2">
      <c r="A9" s="144">
        <v>2.2000000000000002</v>
      </c>
      <c r="B9" s="93" t="s">
        <v>322</v>
      </c>
      <c r="C9" s="94" t="s">
        <v>272</v>
      </c>
      <c r="D9" s="100" t="s">
        <v>280</v>
      </c>
      <c r="E9" s="94" t="s">
        <v>443</v>
      </c>
      <c r="F9" s="94" t="s">
        <v>491</v>
      </c>
      <c r="G9" s="94" t="s">
        <v>492</v>
      </c>
      <c r="H9" s="94" t="s">
        <v>493</v>
      </c>
      <c r="I9" s="94" t="s">
        <v>482</v>
      </c>
      <c r="J9" s="110" t="s">
        <v>273</v>
      </c>
      <c r="K9" s="8"/>
    </row>
    <row r="10" spans="1:12" s="6" customFormat="1" ht="272" x14ac:dyDescent="0.2">
      <c r="A10" s="145">
        <v>2.2999999999999998</v>
      </c>
      <c r="B10" s="93" t="s">
        <v>288</v>
      </c>
      <c r="C10" s="98" t="s">
        <v>272</v>
      </c>
      <c r="D10" s="209" t="s">
        <v>280</v>
      </c>
      <c r="E10" s="98" t="s">
        <v>447</v>
      </c>
      <c r="F10" s="98" t="s">
        <v>472</v>
      </c>
      <c r="G10" s="98" t="s">
        <v>494</v>
      </c>
      <c r="H10" s="98" t="s">
        <v>495</v>
      </c>
      <c r="I10" s="99" t="s">
        <v>448</v>
      </c>
      <c r="J10" s="110" t="s">
        <v>273</v>
      </c>
      <c r="K10" s="8"/>
    </row>
    <row r="11" spans="1:12" s="6" customFormat="1" ht="153" x14ac:dyDescent="0.2">
      <c r="A11" s="144">
        <v>2.4</v>
      </c>
      <c r="B11" s="93" t="s">
        <v>31</v>
      </c>
      <c r="C11" s="94" t="s">
        <v>272</v>
      </c>
      <c r="D11" s="100" t="s">
        <v>280</v>
      </c>
      <c r="E11" s="94" t="s">
        <v>418</v>
      </c>
      <c r="F11" s="96" t="s">
        <v>496</v>
      </c>
      <c r="G11" s="96" t="s">
        <v>497</v>
      </c>
      <c r="H11" s="96" t="s">
        <v>498</v>
      </c>
      <c r="I11" s="96" t="s">
        <v>499</v>
      </c>
      <c r="J11" s="109" t="s">
        <v>273</v>
      </c>
      <c r="K11" s="8"/>
    </row>
    <row r="12" spans="1:12" s="6" customFormat="1" ht="100" customHeight="1" x14ac:dyDescent="0.2">
      <c r="A12" s="145">
        <v>2.5</v>
      </c>
      <c r="B12" s="97" t="s">
        <v>32</v>
      </c>
      <c r="C12" s="98" t="s">
        <v>272</v>
      </c>
      <c r="D12" s="101" t="s">
        <v>274</v>
      </c>
      <c r="E12" s="98" t="s">
        <v>423</v>
      </c>
      <c r="F12" s="98" t="s">
        <v>478</v>
      </c>
      <c r="G12" s="98" t="s">
        <v>477</v>
      </c>
      <c r="H12" s="98" t="s">
        <v>500</v>
      </c>
      <c r="I12" s="99" t="s">
        <v>424</v>
      </c>
      <c r="J12" s="110" t="s">
        <v>270</v>
      </c>
      <c r="K12" s="8"/>
    </row>
    <row r="13" spans="1:12" s="6" customFormat="1" ht="153" x14ac:dyDescent="0.2">
      <c r="A13" s="144">
        <v>2.6</v>
      </c>
      <c r="B13" s="93" t="s">
        <v>33</v>
      </c>
      <c r="C13" s="94" t="s">
        <v>272</v>
      </c>
      <c r="D13" s="100" t="s">
        <v>280</v>
      </c>
      <c r="E13" s="98" t="s">
        <v>420</v>
      </c>
      <c r="F13" s="96" t="s">
        <v>501</v>
      </c>
      <c r="G13" s="96" t="s">
        <v>480</v>
      </c>
      <c r="H13" s="94" t="s">
        <v>502</v>
      </c>
      <c r="I13" s="96" t="s">
        <v>421</v>
      </c>
      <c r="J13" s="109" t="s">
        <v>271</v>
      </c>
      <c r="K13" s="8"/>
    </row>
    <row r="14" spans="1:12" s="6" customFormat="1" ht="100" customHeight="1" x14ac:dyDescent="0.2">
      <c r="A14" s="145">
        <v>2.7</v>
      </c>
      <c r="B14" s="97" t="s">
        <v>34</v>
      </c>
      <c r="C14" s="98" t="s">
        <v>272</v>
      </c>
      <c r="D14" s="100" t="s">
        <v>280</v>
      </c>
      <c r="E14" s="98" t="s">
        <v>35</v>
      </c>
      <c r="F14" s="98" t="s">
        <v>36</v>
      </c>
      <c r="G14" s="98" t="s">
        <v>37</v>
      </c>
      <c r="H14" s="98" t="s">
        <v>503</v>
      </c>
      <c r="I14" s="99" t="s">
        <v>38</v>
      </c>
      <c r="J14" s="110" t="s">
        <v>271</v>
      </c>
      <c r="K14" s="8"/>
    </row>
    <row r="15" spans="1:12" s="6" customFormat="1" ht="170" x14ac:dyDescent="0.2">
      <c r="A15" s="144">
        <v>2.8</v>
      </c>
      <c r="B15" s="93" t="s">
        <v>39</v>
      </c>
      <c r="C15" s="94" t="s">
        <v>272</v>
      </c>
      <c r="D15" s="100" t="s">
        <v>280</v>
      </c>
      <c r="E15" s="94" t="s">
        <v>259</v>
      </c>
      <c r="F15" s="94" t="s">
        <v>261</v>
      </c>
      <c r="G15" s="94" t="s">
        <v>262</v>
      </c>
      <c r="H15" s="94" t="s">
        <v>504</v>
      </c>
      <c r="I15" s="96" t="s">
        <v>329</v>
      </c>
      <c r="J15" s="109" t="s">
        <v>271</v>
      </c>
      <c r="K15" s="8"/>
    </row>
    <row r="16" spans="1:12" s="6" customFormat="1" ht="153" x14ac:dyDescent="0.2">
      <c r="A16" s="145">
        <v>3.1</v>
      </c>
      <c r="B16" s="98" t="s">
        <v>289</v>
      </c>
      <c r="C16" s="98" t="s">
        <v>330</v>
      </c>
      <c r="D16" s="100" t="s">
        <v>280</v>
      </c>
      <c r="E16" s="98" t="s">
        <v>326</v>
      </c>
      <c r="F16" s="98" t="s">
        <v>325</v>
      </c>
      <c r="G16" s="98" t="s">
        <v>328</v>
      </c>
      <c r="H16" s="98" t="s">
        <v>506</v>
      </c>
      <c r="I16" s="99" t="s">
        <v>505</v>
      </c>
      <c r="J16" s="110" t="s">
        <v>273</v>
      </c>
      <c r="K16" s="8"/>
    </row>
    <row r="17" spans="1:11" s="6" customFormat="1" ht="100" customHeight="1" x14ac:dyDescent="0.2">
      <c r="A17" s="144">
        <v>4.0999999999999996</v>
      </c>
      <c r="B17" s="94" t="s">
        <v>323</v>
      </c>
      <c r="C17" s="94" t="s">
        <v>331</v>
      </c>
      <c r="D17" s="95" t="s">
        <v>269</v>
      </c>
      <c r="E17" s="94" t="s">
        <v>40</v>
      </c>
      <c r="F17" s="94" t="s">
        <v>507</v>
      </c>
      <c r="G17" s="94" t="s">
        <v>327</v>
      </c>
      <c r="H17" s="94" t="s">
        <v>508</v>
      </c>
      <c r="I17" s="96" t="s">
        <v>43</v>
      </c>
      <c r="J17" s="109" t="s">
        <v>336</v>
      </c>
      <c r="K17" s="8"/>
    </row>
    <row r="18" spans="1:11" s="6" customFormat="1" ht="100" customHeight="1" x14ac:dyDescent="0.2">
      <c r="A18" s="145">
        <v>5.0999999999999996</v>
      </c>
      <c r="B18" s="102" t="s">
        <v>45</v>
      </c>
      <c r="C18" s="103" t="s">
        <v>332</v>
      </c>
      <c r="D18" s="100" t="s">
        <v>280</v>
      </c>
      <c r="E18" s="103" t="s">
        <v>46</v>
      </c>
      <c r="F18" s="103" t="s">
        <v>47</v>
      </c>
      <c r="G18" s="103" t="s">
        <v>48</v>
      </c>
      <c r="H18" s="103" t="s">
        <v>509</v>
      </c>
      <c r="I18" s="104" t="s">
        <v>49</v>
      </c>
      <c r="J18" s="112" t="s">
        <v>271</v>
      </c>
      <c r="K18" s="8"/>
    </row>
    <row r="19" spans="1:11" s="6" customFormat="1" ht="100" customHeight="1" x14ac:dyDescent="0.2">
      <c r="A19" s="113" t="s">
        <v>324</v>
      </c>
      <c r="B19" s="94" t="s">
        <v>50</v>
      </c>
      <c r="C19" s="94" t="s">
        <v>381</v>
      </c>
      <c r="D19" s="100" t="s">
        <v>280</v>
      </c>
      <c r="E19" s="94" t="s">
        <v>51</v>
      </c>
      <c r="F19" s="94" t="s">
        <v>52</v>
      </c>
      <c r="G19" s="94" t="s">
        <v>53</v>
      </c>
      <c r="H19" s="94" t="s">
        <v>510</v>
      </c>
      <c r="I19" s="94" t="s">
        <v>54</v>
      </c>
      <c r="J19" s="109" t="s">
        <v>271</v>
      </c>
      <c r="K19" s="8"/>
    </row>
    <row r="20" spans="1:11" s="6" customFormat="1" ht="136" x14ac:dyDescent="0.2">
      <c r="A20" s="114" t="s">
        <v>55</v>
      </c>
      <c r="B20" s="105" t="s">
        <v>56</v>
      </c>
      <c r="C20" s="94" t="s">
        <v>380</v>
      </c>
      <c r="D20" s="106" t="s">
        <v>274</v>
      </c>
      <c r="E20" s="105" t="s">
        <v>483</v>
      </c>
      <c r="F20" s="105" t="s">
        <v>481</v>
      </c>
      <c r="G20" s="105" t="s">
        <v>511</v>
      </c>
      <c r="H20" s="105" t="s">
        <v>521</v>
      </c>
      <c r="I20" s="107" t="s">
        <v>520</v>
      </c>
      <c r="J20" s="112" t="s">
        <v>270</v>
      </c>
      <c r="K20" s="8"/>
    </row>
    <row r="21" spans="1:11" s="6" customFormat="1" ht="100" customHeight="1" x14ac:dyDescent="0.2">
      <c r="A21" s="113" t="s">
        <v>58</v>
      </c>
      <c r="B21" s="94" t="s">
        <v>59</v>
      </c>
      <c r="C21" s="94" t="s">
        <v>380</v>
      </c>
      <c r="D21" s="108" t="s">
        <v>274</v>
      </c>
      <c r="E21" s="94" t="s">
        <v>60</v>
      </c>
      <c r="F21" s="94" t="s">
        <v>522</v>
      </c>
      <c r="G21" s="94" t="s">
        <v>512</v>
      </c>
      <c r="H21" s="94" t="s">
        <v>513</v>
      </c>
      <c r="I21" s="94" t="s">
        <v>439</v>
      </c>
      <c r="J21" s="109" t="s">
        <v>270</v>
      </c>
      <c r="K21" s="8"/>
    </row>
    <row r="23" spans="1:11" ht="20" customHeight="1" x14ac:dyDescent="0.2">
      <c r="A23" s="213" t="s">
        <v>524</v>
      </c>
    </row>
  </sheetData>
  <mergeCells count="1">
    <mergeCell ref="A1:J1"/>
  </mergeCells>
  <pageMargins left="1" right="1" top="1" bottom="1" header="0.25" footer="0.25"/>
  <pageSetup orientation="portrait"/>
  <headerFooter>
    <oddFooter>&amp;C&amp;"Helvetica Neue,Regular"&amp;12&amp;K000000&amp;P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401524DC532D42A0E0ED886331A72B" ma:contentTypeVersion="13" ma:contentTypeDescription="Create a new document." ma:contentTypeScope="" ma:versionID="d936d863d335d354da51eb78ca1ae338">
  <xsd:schema xmlns:xsd="http://www.w3.org/2001/XMLSchema" xmlns:xs="http://www.w3.org/2001/XMLSchema" xmlns:p="http://schemas.microsoft.com/office/2006/metadata/properties" xmlns:ns2="f577acbf-5b0b-4b4f-9948-268e97f8d3a4" xmlns:ns3="b1e4d6ee-9f6f-43f8-a618-24f3d84da28f" targetNamespace="http://schemas.microsoft.com/office/2006/metadata/properties" ma:root="true" ma:fieldsID="5fbac08d56b1b04aa33acbc31e882ce9" ns2:_="" ns3:_="">
    <xsd:import namespace="f577acbf-5b0b-4b4f-9948-268e97f8d3a4"/>
    <xsd:import namespace="b1e4d6ee-9f6f-43f8-a618-24f3d84da28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3:LastSharedByUser" minOccurs="0"/>
                <xsd:element ref="ns3:LastSharedByTime" minOccurs="0"/>
                <xsd:element ref="ns2:Document_x0020_Purpose" minOccurs="0"/>
                <xsd:element ref="ns2:Initiatives" minOccurs="0"/>
                <xsd:element ref="ns2:MediaServiceDateTaken" minOccurs="0"/>
                <xsd:element ref="ns2:MediaServiceAutoTags"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77acbf-5b0b-4b4f-9948-268e97f8d3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ocument_x0020_Purpose" ma:index="14" nillable="true" ma:displayName="Document Purpose" ma:default="Informational" ma:format="Dropdown" ma:internalName="Document_x0020_Purpose">
      <xsd:simpleType>
        <xsd:restriction base="dms:Choice">
          <xsd:enumeration value="Informational"/>
          <xsd:enumeration value="Feature Spec"/>
          <xsd:enumeration value="Engineering Design"/>
          <xsd:enumeration value="Planning"/>
        </xsd:restriction>
      </xsd:simpleType>
    </xsd:element>
    <xsd:element name="Initiatives" ma:index="15" nillable="true" ma:displayName="Initiatives" ma:description="List of initiatives related to this document" ma:internalName="Initiatives">
      <xsd:complexType>
        <xsd:complexContent>
          <xsd:extension base="dms:MultiChoice">
            <xsd:sequence>
              <xsd:element name="Value" maxOccurs="unbounded" minOccurs="0" nillable="true">
                <xsd:simpleType>
                  <xsd:restriction base="dms:Choice">
                    <xsd:enumeration value="Add-in MAU"/>
                    <xsd:enumeration value="Custom Functions"/>
                    <xsd:enumeration value="Data &amp; Analytics"/>
                    <xsd:enumeration value="DevEx: Portals &amp; Programs"/>
                    <xsd:enumeration value="DevEx: Tools &amp; Libraries"/>
                    <xsd:enumeration value="Engineering"/>
                    <xsd:enumeration value="Excel API"/>
                    <xsd:enumeration value="In-Market Support"/>
                    <xsd:enumeration value="Maker Access"/>
                    <xsd:enumeration value="SDX Runtime &amp; Partners"/>
                    <xsd:enumeration value="SDX Service Delivery"/>
                    <xsd:enumeration value="SDX API &amp; Pipeline"/>
                    <xsd:enumeration value="Shield &amp; OCE"/>
                  </xsd:restriction>
                </xsd:simpleType>
              </xsd:element>
            </xsd:sequence>
          </xsd:extension>
        </xsd:complexContent>
      </xsd:complexType>
    </xsd:element>
    <xsd:element name="MediaServiceDateTaken" ma:index="16" nillable="true" ma:displayName="MediaServiceDateTaken" ma:hidden="true" ma:internalName="MediaServiceDateTaken" ma:readOnly="true">
      <xsd:simpleType>
        <xsd:restriction base="dms:Text"/>
      </xsd:simpleType>
    </xsd:element>
    <xsd:element name="MediaServiceAutoTags" ma:index="17" nillable="true" ma:displayName="MediaServiceAutoTags" ma:internalName="MediaServiceAutoTags" ma:readOnly="true">
      <xsd:simpleType>
        <xsd:restriction base="dms:Text"/>
      </xsd:simpleType>
    </xsd:element>
    <xsd:element name="MediaServiceOCR" ma:index="18" nillable="true" ma:displayName="MediaServiceOCR" ma:internalName="MediaServiceOCR" ma:readOnly="true">
      <xsd:simpleType>
        <xsd:restriction base="dms:Note">
          <xsd:maxLength value="255"/>
        </xsd:restriction>
      </xsd:simpleType>
    </xsd:element>
    <xsd:element name="MediaServiceLocation" ma:index="19" nillable="true" ma:displayName="MediaServic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1e4d6ee-9f6f-43f8-a618-24f3d84da28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LastSharedByUser" ma:index="12" nillable="true" ma:displayName="Last Shared By User" ma:hidden="true" ma:internalName="LastSharedByUser" ma:readOnly="true">
      <xsd:simpleType>
        <xsd:restriction base="dms:Note"/>
      </xsd:simpleType>
    </xsd:element>
    <xsd:element name="LastSharedByTime" ma:index="13" nillable="true" ma:displayName="Last Shared By Time" ma:hidden="true" ma:internalName="LastSharedByTime" ma:readOnly="tru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cument_x0020_Purpose xmlns="f577acbf-5b0b-4b4f-9948-268e97f8d3a4">Informational</Document_x0020_Purpose>
    <Initiatives xmlns="f577acbf-5b0b-4b4f-9948-268e97f8d3a4"/>
  </documentManagement>
</p:properties>
</file>

<file path=customXml/itemProps1.xml><?xml version="1.0" encoding="utf-8"?>
<ds:datastoreItem xmlns:ds="http://schemas.openxmlformats.org/officeDocument/2006/customXml" ds:itemID="{2426A393-DB36-49FF-B8B1-6D5559B7AB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77acbf-5b0b-4b4f-9948-268e97f8d3a4"/>
    <ds:schemaRef ds:uri="b1e4d6ee-9f6f-43f8-a618-24f3d84da2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F48E296-90D9-4A92-A29D-759F46DCA7D9}">
  <ds:schemaRefs>
    <ds:schemaRef ds:uri="http://schemas.microsoft.com/sharepoint/v3/contenttype/forms"/>
  </ds:schemaRefs>
</ds:datastoreItem>
</file>

<file path=customXml/itemProps3.xml><?xml version="1.0" encoding="utf-8"?>
<ds:datastoreItem xmlns:ds="http://schemas.openxmlformats.org/officeDocument/2006/customXml" ds:itemID="{70FB5453-596E-4CE8-BCCA-8DF4D5465AF4}">
  <ds:schemaRefs>
    <ds:schemaRef ds:uri="http://schemas.microsoft.com/office/2006/metadata/properties"/>
    <ds:schemaRef ds:uri="b1e4d6ee-9f6f-43f8-a618-24f3d84da28f"/>
    <ds:schemaRef ds:uri="http://purl.org/dc/terms/"/>
    <ds:schemaRef ds:uri="http://schemas.openxmlformats.org/package/2006/metadata/core-properties"/>
    <ds:schemaRef ds:uri="f577acbf-5b0b-4b4f-9948-268e97f8d3a4"/>
    <ds:schemaRef ds:uri="http://schemas.microsoft.com/office/2006/documentManagement/types"/>
    <ds:schemaRef ds:uri="http://schemas.microsoft.com/office/infopath/2007/PartnerControls"/>
    <ds:schemaRef ds:uri="http://purl.org/dc/elements/1.1/"/>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README</vt:lpstr>
      <vt:lpstr>Summary</vt:lpstr>
      <vt:lpstr>Methodology</vt:lpstr>
      <vt:lpstr>Rating Criteria</vt:lpstr>
      <vt:lpstr>Evidence Matrix</vt:lpstr>
      <vt:lpstr>Output Assessment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2018-06-07T17:34:22Z</dcterms:created>
  <dcterms:modified xsi:type="dcterms:W3CDTF">2026-10-16T02:46:24Z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0x010100CD401524DC532D42A0E0ED886331A72B</vt:lpwstr>
  </property>
  <property fmtid="{D5CDD505-2E9C-101B-9397-08002B2CF9AE}" pid="3" name="MSIP_Label_f42aa342-8706-4288-bd11-ebb85995028c_Enabled">
    <vt:lpwstr>True</vt:lpwstr>
  </property>
  <property fmtid="{D5CDD505-2E9C-101B-9397-08002B2CF9AE}" pid="4" name="MSIP_Label_f42aa342-8706-4288-bd11-ebb85995028c_SiteId">
    <vt:lpwstr>72f988bf-86f1-41af-91ab-2d7cd011db47</vt:lpwstr>
  </property>
  <property fmtid="{D5CDD505-2E9C-101B-9397-08002B2CF9AE}" pid="5" name="MSIP_Label_f42aa342-8706-4288-bd11-ebb85995028c_Owner">
    <vt:lpwstr>t-dahop@microsoft.com</vt:lpwstr>
  </property>
  <property fmtid="{D5CDD505-2E9C-101B-9397-08002B2CF9AE}" pid="6" name="MSIP_Label_f42aa342-8706-4288-bd11-ebb85995028c_SetDate">
    <vt:lpwstr>2018-06-18T14:22:57.3833839Z</vt:lpwstr>
  </property>
  <property fmtid="{D5CDD505-2E9C-101B-9397-08002B2CF9AE}" pid="7" name="MSIP_Label_f42aa342-8706-4288-bd11-ebb85995028c_Name">
    <vt:lpwstr>General</vt:lpwstr>
  </property>
  <property fmtid="{D5CDD505-2E9C-101B-9397-08002B2CF9AE}" pid="8" name="MSIP_Label_f42aa342-8706-4288-bd11-ebb85995028c_Application">
    <vt:lpwstr>Microsoft Azure Information Protection</vt:lpwstr>
  </property>
  <property fmtid="{D5CDD505-2E9C-101B-9397-08002B2CF9AE}" pid="9" name="MSIP_Label_f42aa342-8706-4288-bd11-ebb85995028c_Extended_MSFT_Method">
    <vt:lpwstr>Automatic</vt:lpwstr>
  </property>
  <property fmtid="{D5CDD505-2E9C-101B-9397-08002B2CF9AE}" pid="10" name="Sensitivity">
    <vt:lpwstr>General</vt:lpwstr>
  </property>
</Properties>
</file>