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filterPrivacy="1" defaultThemeVersion="166925"/>
  <xr:revisionPtr revIDLastSave="0" documentId="13_ncr:1_{A06CE519-6401-A647-B9B7-0F2F02E1C152}" xr6:coauthVersionLast="47" xr6:coauthVersionMax="47" xr10:uidLastSave="{00000000-0000-0000-0000-000000000000}"/>
  <bookViews>
    <workbookView xWindow="0" yWindow="0" windowWidth="38400" windowHeight="21600" xr2:uid="{51658058-8315-A640-B733-1DFC39D6EEC8}"/>
  </bookViews>
  <sheets>
    <sheet name="Summary" sheetId="2" r:id="rId1"/>
    <sheet name="Methodology" sheetId="3" r:id="rId2"/>
    <sheet name="Rating Criteria" sheetId="4" r:id="rId3"/>
    <sheet name="Evidence Matrix" sheetId="7" r:id="rId4"/>
    <sheet name="Output Assessment" sheetId="5" r:id="rId5"/>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E10" i="2"/>
  <c r="B27" i="2"/>
  <c r="E11" i="2"/>
  <c r="E12" i="2"/>
  <c r="E16" i="2"/>
  <c r="E17" i="2"/>
  <c r="D17" i="2"/>
  <c r="C17" i="2"/>
  <c r="B17" i="2"/>
  <c r="B7" i="2"/>
  <c r="C4" i="2"/>
  <c r="C5" i="2"/>
  <c r="C6" i="2"/>
  <c r="C7" i="2"/>
</calcChain>
</file>

<file path=xl/sharedStrings.xml><?xml version="1.0" encoding="utf-8"?>
<sst xmlns="http://schemas.openxmlformats.org/spreadsheetml/2006/main" count="619" uniqueCount="448">
  <si>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</si>
  <si>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</si>
  <si>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</si>
  <si>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</si>
  <si>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</si>
  <si>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</si>
  <si>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</si>
  <si>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</si>
  <si>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</si>
  <si>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</si>
  <si>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</si>
  <si>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</si>
  <si>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</si>
  <si>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</si>
  <si>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</si>
  <si>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</si>
  <si>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</si>
  <si>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</si>
  <si>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</si>
  <si>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</si>
  <si>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</si>
  <si>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</si>
  <si>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</si>
  <si>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</si>
  <si>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</si>
  <si>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</si>
  <si>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</si>
  <si>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</si>
  <si>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</si>
  <si>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</si>
  <si>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FOI 3643, FOI 4029-03, OAIC MR22/00538 searches</t>
  </si>
  <si>
    <t>List of AESI (Adverse Events of Special Interest) was used; TGA weekly reports reference monitoring specific conditions</t>
  </si>
  <si>
    <t>No documentation of established expected rates or calculated background rates for AESI; FOI 4029-03 shows PRR/MaxSPRT capacity (Sep 2021) but public reports lack statistical methodology outputs</t>
  </si>
  <si>
    <t>FOI 4029-03 (ACV presentation Sep 2021 shows capability); Surveillance Analysis (expected rates used without methodology); OAIC searches found no background rate documentation</t>
  </si>
  <si>
    <t>Not Documented</t>
  </si>
  <si>
    <t>FOI 3643, FOI 25-0166, OAIC MR22/00538 searches (531 containers), FOI 5275</t>
  </si>
  <si>
    <t>OAIC comprehensive searches: zero COVID-19 vaccine specific investigation protocols found; TGA characterised monitoring as 'day-to-day processes' (Senate Oct 2025)</t>
  </si>
  <si>
    <t>No specific investigation protocols for COVID-19 vaccines documented; no COVID-specific SOPs located; no documented methodology for how 148 signals were investigated</t>
  </si>
  <si>
    <t>OAIC Decision AICmr 54 (searches found no protocols); Senate Hansard 9 Oct 2025 ('day-to-day processes'); Surveillance Analysis (148 signals investigated but no published investigation protocols)</t>
  </si>
  <si>
    <t>FOI 3643, FOI 25-0166, FOI 4029-03, OAIC MR22/00538 searches, FOI 5275</t>
  </si>
  <si>
    <t>Zero documentation of refined cumulative review processes in public reports; no statistical methodologies published; no subpopulation analysis frameworks documented; no AIR-denominator outputs in public reports despite ACV presentation</t>
  </si>
  <si>
    <t>Active surveillance (AusVaxSafety)</t>
  </si>
  <si>
    <t>AusVaxSafety infrastructure operated effectively: 6,887,520 COVID-19 vaccine safety surveys completed; 62,000+ medical visits documented; data appears in TGA weekly reports</t>
  </si>
  <si>
    <t>No documented coordination protocols between TGA and AusVaxSafety; no integration methodology found; OAIC searches did not use 'AusVaxSafety' as search term despite Output 2.4 commitment; no documented bridge between 6.8M surveys and 148 TGA signals</t>
  </si>
  <si>
    <t>Clinical studies and reports</t>
  </si>
  <si>
    <t>FOI 3643, FOI 25-0166, FOI 5275, OAIC MR22/00538 searches</t>
  </si>
  <si>
    <t>OAIC searches: zero documentation of new processes for analysing sponsor-submitted reports; FOI 5275 corroborates absence</t>
  </si>
  <si>
    <t>No documented processes for analysing clinical studies/reports from sponsors; no evidence of enhanced review protocols for COVID vaccine sponsor submissions</t>
  </si>
  <si>
    <t>OAIC Decision AICmr 54 (no documentation found); FOI 5275 (independent applicant, corroborating gaps); OAIC MR22/00538 submission (searches found zero processes)</t>
  </si>
  <si>
    <t>Environmental scanning</t>
  </si>
  <si>
    <t>OAIC searches: no documented processes for systematic environmental scanning activities identified</t>
  </si>
  <si>
    <t>No documented systematic environmental scanning processes; no evidence of formal literature review protocols or regulatory intelligence gathering frameworks</t>
  </si>
  <si>
    <t>OAIC Decision AICmr 54 (no processes found); OAIC MR22/00538 submission (comprehensive searches found no scanning protocols)</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</si>
  <si>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</si>
  <si>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</si>
  <si>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</si>
  <si>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</si>
  <si>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</si>
  <si>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</si>
  <si>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</si>
  <si>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</si>
  <si>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</si>
  <si>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</si>
  <si>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</si>
  <si>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</si>
  <si>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</si>
  <si>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</si>
  <si>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</si>
  <si>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</si>
  <si>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</si>
  <si>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</si>
  <si>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</si>
  <si>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</si>
  <si>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</si>
  <si>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</si>
  <si>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</si>
  <si>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</si>
  <si>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FOI 3643, FOI 25-0166, OAIC MR22/00538 searches (531 containers), Senate testimony Oct 2025</t>
  </si>
  <si>
    <t>Senate testimony (9 Oct 2025): TGA admits monitoring 'never systematically tracked' against Plan; OAIC searches: zero governance documentation found</t>
  </si>
  <si>
    <t>No oversight committees documented; no progress reports identified; no performance metrics tracking against Plan outputs; no evidence of Plan-level governance</t>
  </si>
  <si>
    <t>Senate Hansard 9 Oct 2025 ('day-to-day processes never systematically tracked'); OAIC Decision AICmr 54; OAIC MR22/00538 (531 containers, zero governance docs); FOI 3643 (Feb 2022: 'no implementation report exists')</t>
  </si>
  <si>
    <t>GOV.2</t>
  </si>
  <si>
    <t>Performance measurement</t>
  </si>
  <si>
    <t>FOI 3643, FOI 25-0166, OAIC MR22/00538 searches, Senate testimony Oct 2025, Surveillance Analysis (150+ reports)</t>
  </si>
  <si>
    <t>Senate testimony confirms absence; FOI 3643 (Feb 2022) Kay email: 'no implementation report'; Surveillance Analysis: 150+ reports contain zero Plan references or output tracking</t>
  </si>
  <si>
    <t>Total absence of performance metrics; no tracking of 20 outputs; no KPIs documented; 150+ weekly reports contain zero Plan framework references; no assessment at programme cessation (Nov 2023)</t>
  </si>
  <si>
    <t>Senate Hansard 9 Oct 2025; FOI 3643 Kay email 23 Feb 2022 ('no implementation report... entering phase of reviewing'); Surveillance Analysis (zero Plan references across 150+ reports); OAIC searches found zero performance tracking</t>
  </si>
  <si>
    <t>Assessment Evidence Matrix - Summary Dashboard</t>
  </si>
  <si>
    <t>OVERALL STATUS SUMMARY</t>
  </si>
  <si>
    <t>Count</t>
  </si>
  <si>
    <t>Percentage</t>
  </si>
  <si>
    <t>TOTAL</t>
  </si>
  <si>
    <t>STATUS BY OBJECTIVE</t>
  </si>
  <si>
    <t>Total</t>
  </si>
  <si>
    <t>RATING BY OBJECTIVE</t>
  </si>
  <si>
    <t>Avg Rating</t>
  </si>
  <si>
    <t>Min</t>
  </si>
  <si>
    <t>Max</t>
  </si>
  <si>
    <t>OVERALL</t>
  </si>
  <si>
    <t>FOI 3643, FOI 25-0166, OAIC MR22/00538 searches,  FOI 5082, AusVaxSafety public reports, TGA weekly reports</t>
  </si>
  <si>
    <t>Overview</t>
  </si>
  <si>
    <t>This audit operates within defined methodological boundaries consistent with ISO 19011:2018 (management systems auditing), ANAO performance audit methodology, and OSINT best practice.</t>
  </si>
  <si>
    <t>Complete Methodology: ISO 19011 Management Systems Audit</t>
  </si>
  <si>
    <r>
      <t>Repository:</t>
    </r>
    <r>
      <rPr>
        <sz val="12"/>
        <color theme="1"/>
        <rFont val="Calibri"/>
        <family val="2"/>
        <scheme val="minor"/>
      </rPr>
      <t xml:space="preserve"> https://github.com/paulrekaris/TGA-COVID19-Vaccine-Safety-Monitoring-Audit</t>
    </r>
  </si>
  <si>
    <t>Key Assumptions</t>
  </si>
  <si>
    <t>Assumption</t>
  </si>
  <si>
    <t>Basis</t>
  </si>
  <si>
    <t>Properly implemented government policies should be documented</t>
  </si>
  <si>
    <t>Commonwealth accountability frameworks require documented evidence of performance (PGPA Act 2013 s37, Archives Act 1983)</t>
  </si>
  <si>
    <t>FOI Act provides adequate access to government records</t>
  </si>
  <si>
    <t>Freedom of Information Act 1982 establishes statutory right to access government documents; OAIC provides independent oversight of FOI processes</t>
  </si>
  <si>
    <t>TGA's OAIC-directed searches were comprehensive</t>
  </si>
  <si>
    <t>September 2024 searches of 531+ TRIM containers under OAIC statutory direction represent TGA's own assessment of what documentation exists</t>
  </si>
  <si>
    <t>Senate testimony under parliamentary privilege is reliable</t>
  </si>
  <si>
    <t>Official statements by TGA senior officials under oath to Senate committees constitute authoritative evidence of implementation status</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</si>
  <si>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</si>
  <si>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</si>
  <si>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</si>
  <si>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</si>
  <si>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</si>
  <si>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Per ISO 19011:2018 Section 6.4.10, audit conclusions are based on evidence made available to auditor within defined scope, not hypothetical evidence that might exist elsewhere</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</si>
  <si>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</si>
  <si>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</si>
  <si>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</si>
  <si>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</si>
  <si>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</si>
  <si>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</si>
  <si>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</si>
  <si>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</si>
  <si>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</si>
  <si>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</si>
  <si>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</si>
  <si>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</si>
  <si>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</si>
  <si>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</si>
  <si>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</si>
  <si>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</si>
  <si>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</si>
  <si>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</si>
  <si>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</si>
  <si>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</si>
  <si>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</si>
  <si>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</si>
  <si>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</si>
  <si>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Cannot verify completeness of TGA's internal searches beyond OAIC-directed processes</t>
  </si>
  <si>
    <t>Reliant on TGA's representation that comprehensive searches conducted; OAIC validation provides independent assurance</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</si>
  <si>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</si>
  <si>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</si>
  <si>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</si>
  <si>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</si>
  <si>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</si>
  <si>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</si>
  <si>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</si>
  <si>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</si>
  <si>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</si>
  <si>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</si>
  <si>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</si>
  <si>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</si>
  <si>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</si>
  <si>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</si>
  <si>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</si>
  <si>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</si>
  <si>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</si>
  <si>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</si>
  <si>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</si>
  <si>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</si>
  <si>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</si>
  <si>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</si>
  <si>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</si>
  <si>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</si>
  <si>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ISO 19011:2018 Section 6.4.10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</si>
  <si>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</si>
  <si>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</si>
  <si>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</si>
  <si>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</si>
  <si>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</si>
  <si>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</si>
  <si>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</si>
  <si>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</si>
  <si>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</si>
  <si>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</si>
  <si>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</si>
  <si>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</si>
  <si>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</si>
  <si>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3. OAIC-Validated Searches</t>
  </si>
  <si>
    <t>TGA's comprehensive searches under OAIC statutory direction: 531+ TRIM containers (September 2024), 2,218+ pages reviewed and classified by Plan objectives, independent oversight body validation</t>
  </si>
  <si>
    <t>Highest - TGA's own assessment of what documentation exists under statutory obligation</t>
  </si>
  <si>
    <t>Cannot verify documents TGA claims don't exist; reliant on search methodology adequacy</t>
  </si>
  <si>
    <t>4. Senate Testimony Under Privilege</t>
  </si>
  <si>
    <t>Official statements by TGA senior officials under parliamentary privilege (9 October 2025), direct admissions regarding Plan implementation and tracking</t>
  </si>
  <si>
    <t>Highest - official testimony under oath in parliamentary proceedings</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</si>
  <si>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</si>
  <si>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</si>
  <si>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</si>
  <si>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High - independent third-party validation of findings</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</si>
  <si>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</si>
  <si>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</si>
  <si>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</si>
  <si>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</si>
  <si>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</si>
  <si>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</si>
  <si>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</si>
  <si>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</si>
  <si>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</si>
  <si>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Under Commonwealth accountability frameworks (PGPA Act 2013 s37, Archives Act 1983, FOI Act 1982), the burden rests with government entities to demonstrate performance through documentation, not with oversight bodies or citizens to prove documentation doesn't exist.</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</si>
  <si>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</si>
  <si>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</si>
  <si>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</si>
  <si>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</si>
  <si>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</si>
  <si>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</si>
  <si>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</si>
  <si>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</si>
  <si>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</si>
  <si>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</si>
  <si>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</si>
  <si>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</si>
  <si>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</si>
  <si>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</si>
  <si>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</si>
  <si>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</si>
  <si>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</si>
  <si>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</si>
  <si>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Substantial activity occurred demonstrating operational delivery, but systematic protocols, integration frameworks, or governance documentation not evidenced</t>
  </si>
  <si>
    <t>(1) Clear evidence of activity/outputs (data collected, processes occurred), BUT (2) Enhanced protocols/frameworks not documented, OR (3) Integration between systems not evidenced, OR (4) Cannot distinguish "enhanced" from routine processes</t>
  </si>
  <si>
    <t>✗</t>
  </si>
  <si>
    <t>Zero documentation found despite comprehensive searches; TGA's own OAIC-directed searches located no evidence of implementation</t>
  </si>
  <si>
    <t>(1) TGA OAIC searches (531 containers) found no relevant documentation, AND (2) FOI processes produced no evidence, AND (3) No references in public reports/testimony</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</si>
  <si>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</si>
  <si>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</si>
  <si>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</si>
  <si>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</si>
  <si>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</si>
  <si>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</si>
  <si>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Distinguishes between operational delivery (which clearly happened: 140K reports, 6.8M surveys, 148 signals) and systematic implementation of Plan's enhanced framework (which cannot be verified through documentation)</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</si>
  <si>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</si>
  <si>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</si>
  <si>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</si>
  <si>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</si>
  <si>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r>
      <t>Output 1.4:</t>
    </r>
    <r>
      <rPr>
        <sz val="12"/>
        <color theme="1"/>
        <rFont val="Calibri"/>
        <family val="2"/>
        <scheme val="minor"/>
      </rPr>
      <t xml:space="preserve"> Data processing occurred (140K+ reports) but no evidence this was "enhanced" preparation vs routine DAEN capabilities. Activity documented but enhancement not evidenced.</t>
    </r>
  </si>
  <si>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</si>
  <si>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</si>
  <si>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</si>
  <si>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</si>
  <si>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</si>
  <si>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</si>
  <si>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</si>
  <si>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</si>
  <si>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</si>
  <si>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</si>
  <si>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</si>
  <si>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</si>
  <si>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</si>
  <si>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</si>
  <si>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</si>
  <si>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</si>
  <si>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</si>
  <si>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</si>
  <si>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</si>
  <si>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</si>
  <si>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</si>
  <si>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</si>
  <si>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</si>
  <si>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</si>
  <si>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</si>
  <si>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</si>
  <si>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r>
      <t>Communication Outputs</t>
    </r>
    <r>
      <rPr>
        <sz val="12"/>
        <color theme="1"/>
        <rFont val="Calibri"/>
        <family val="2"/>
        <scheme val="minor"/>
      </rPr>
      <t xml:space="preserve"> (1.1, 3.1)</t>
    </r>
  </si>
  <si>
    <t>Published materials exist and are accessible (website content, reports, media releases)</t>
  </si>
  <si>
    <t>Materials exist but some gaps in systematic delivery or framework</t>
  </si>
  <si>
    <t>No public communications or materials found</t>
  </si>
  <si>
    <r>
      <t>Deliverable Outputs</t>
    </r>
    <r>
      <rPr>
        <sz val="12"/>
        <color theme="1"/>
        <rFont val="Calibri"/>
        <family val="2"/>
        <scheme val="minor"/>
      </rPr>
      <t xml:space="preserve"> (1.2 Forms)</t>
    </r>
  </si>
  <si>
    <t>Deliverable exists, publicly available, fit for purpose</t>
  </si>
  <si>
    <t>Deliverable exists but limitations/gaps identified</t>
  </si>
  <si>
    <t>Deliverable does not exist or not accessible</t>
  </si>
  <si>
    <r>
      <t>Process/Protocol Outputs</t>
    </r>
    <r>
      <rPr>
        <sz val="12"/>
        <color theme="1"/>
        <rFont val="Calibri"/>
        <family val="2"/>
        <scheme val="minor"/>
      </rPr>
      <t xml:space="preserve"> (2.2, 2.3, 2.5, 2.6)</t>
    </r>
  </si>
  <si>
    <t>Documented protocols/SOPs/frameworks exist showing systematic approach distinct from routine</t>
  </si>
  <si>
    <t>Activity evidence exists but protocols/frameworks not documented</t>
  </si>
  <si>
    <t>Zero protocols/frameworks found; comprehensive searches negative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</si>
  <si>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</si>
  <si>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</si>
  <si>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</si>
  <si>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</si>
  <si>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</si>
  <si>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Zero governance documentation; admitted "never systematically tracked"</t>
  </si>
  <si>
    <t>Falsifiability Principle</t>
  </si>
  <si>
    <t>All ratings are falsifiable through document production:</t>
  </si>
  <si>
    <t>Rating Changes Possible:</t>
  </si>
  <si>
    <r>
      <t>Fully → Partially:</t>
    </r>
    <r>
      <rPr>
        <sz val="12"/>
        <color theme="1"/>
        <rFont val="Calibri"/>
        <family val="2"/>
        <scheme val="minor"/>
      </rPr>
      <t xml:space="preserve"> If significant documentation gaps subsequently identified</t>
    </r>
  </si>
  <si>
    <r>
      <t>Partially → Fully:</t>
    </r>
    <r>
      <rPr>
        <sz val="12"/>
        <color theme="1"/>
        <rFont val="Calibri"/>
        <family val="2"/>
        <scheme val="minor"/>
      </rPr>
      <t xml:space="preserve"> If TGA produces comprehensive framework documentation</t>
    </r>
  </si>
  <si>
    <r>
      <t>Not Documented → Partially/Fully:</t>
    </r>
    <r>
      <rPr>
        <sz val="12"/>
        <color theme="1"/>
        <rFont val="Calibri"/>
        <family val="2"/>
        <scheme val="minor"/>
      </rPr>
      <t xml:space="preserve"> If TGA produces previously undisclosed documentation through FOI, OAIC direction, or public release</t>
    </r>
  </si>
  <si>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</si>
  <si>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</si>
  <si>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</si>
  <si>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</si>
  <si>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</si>
  <si>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</si>
  <si>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</si>
  <si>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</si>
  <si>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</si>
  <si>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</si>
  <si>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</si>
  <si>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r>
      <t>Why Fully:</t>
    </r>
    <r>
      <rPr>
        <sz val="12"/>
        <color theme="1"/>
        <rFont val="Calibri"/>
        <family val="2"/>
        <scheme val="minor"/>
      </rPr>
      <t xml:space="preserve"> Output 1.1 is about public communication and reporting pathways (not internal processes). Website content exists, advertising documented, weekly reports published. This is COMMUNICATION OUTPUT fully delivered.</t>
    </r>
  </si>
  <si>
    <r>
      <t>Rating:</t>
    </r>
    <r>
      <rPr>
        <sz val="12"/>
        <color theme="1"/>
        <rFont val="Calibri"/>
        <family val="2"/>
        <scheme val="minor"/>
      </rPr>
      <t xml:space="preserve"> ✓ FULLY IMPLEMENTED</t>
    </r>
  </si>
  <si>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</si>
  <si>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</si>
  <si>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</si>
  <si>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</si>
  <si>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</si>
  <si>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</si>
  <si>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</si>
  <si>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</si>
  <si>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</si>
  <si>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No documented bridge between 6.8M surveys and 148 TGA signals</t>
  </si>
  <si>
    <r>
      <t>Rating:</t>
    </r>
    <r>
      <rPr>
        <sz val="12"/>
        <color theme="1"/>
        <rFont val="Calibri"/>
        <family val="2"/>
        <scheme val="minor"/>
      </rPr>
      <t xml:space="preserve"> ◐ PARTIALLY IMPLEMENTED</t>
    </r>
  </si>
  <si>
    <t>Example 3: Not Documented (✗)</t>
  </si>
  <si>
    <t>Output GOV.1 - Implementation oversight</t>
  </si>
  <si>
    <t>Evidence Searched:</t>
  </si>
  <si>
    <t>FOI 3643, FOI 25-0166</t>
  </si>
  <si>
    <t>OAIC MR22/00538 searches (531 containers)</t>
  </si>
  <si>
    <t>Senate testimony Oct 2025</t>
  </si>
  <si>
    <t>Findings:</t>
  </si>
  <si>
    <t>Senate testimony: TGA admits monitoring 'never systematically tracked' against Plan</t>
  </si>
  <si>
    <t>OAIC searches: zero governance documentation found</t>
  </si>
  <si>
    <t>No oversight committees documented</t>
  </si>
  <si>
    <t>No progress reports identified</t>
  </si>
  <si>
    <t>No performance metrics tracking against Plan outputs</t>
  </si>
  <si>
    <r>
      <t>Why Not Documented:</t>
    </r>
    <r>
      <rPr>
        <sz val="12"/>
        <color theme="1"/>
        <rFont val="Calibri"/>
        <family val="2"/>
        <scheme val="minor"/>
      </rPr>
      <t xml:space="preserve"> Plan required governance/oversight mechanisms for 20 outputs. After searching 531 containers: ZERO governance documentation. Senate testimony direct admission: 'never systematically tracked'. This is TOTAL ABSENCE of Plan governance.</t>
    </r>
  </si>
  <si>
    <r>
      <t>Rating:</t>
    </r>
    <r>
      <rPr>
        <sz val="12"/>
        <color theme="1"/>
        <rFont val="Calibri"/>
        <family val="2"/>
        <scheme val="minor"/>
      </rPr>
      <t xml:space="preserve"> ✗ NOT DOCUMENTED</t>
    </r>
  </si>
  <si>
    <t>FOI 3643, FOI 4029-03, FOI 4029-05, OAIC MR22/00538 searches, ACV meeting statements</t>
  </si>
  <si>
    <t>FOI 4029-03 (ACV received Strategy 2.3 Sep 2021); FOI 4029-05 (VSIG operational, child deaths not referred); ACV Meeting Statements (published); Senate testimony (TGA "burn out" claim); OAIC MR22/00538 ('unable to meaningfully interpret' Objective 5 for advisory searches)</t>
  </si>
  <si>
    <t>Advisory Committee on Vaccines (ACV) existed and met regularly; FOI 4029-03 shows ACV received Strategy 2.3 presentation (Sep 2021); ACV meeting statements published; FOI 4029-05 shows Vaccine Safety Investigation Group (VSIG) operational during child death cases</t>
  </si>
  <si>
    <t>No documentation of standing COVID-19-specific advisory committee; no evidence of paediatric advisory group convening; VSIG operational (FOI 4029-05) but child deaths not referred for expert review despite mechanism existing; TGA "burn out" testimony contradicted by FOI evidence showing VSIG operational; OAIC searches noted Objective 5 'unable to meaningfully interpret' for advisory committee searches</t>
  </si>
  <si>
    <t>Plan Objective</t>
  </si>
  <si>
    <t>Evidence Sources Checked</t>
  </si>
  <si>
    <t>What Was Found</t>
  </si>
  <si>
    <t>Rating Justification</t>
  </si>
  <si>
    <t>Severity</t>
  </si>
  <si>
    <t>Timely collection and management of AEFI (Objective 1)</t>
  </si>
  <si>
    <t>✓ Fully Implemented</t>
  </si>
  <si>
    <t>Output 1.1 is about public communication and reporting pathways (not internal processes). Website content exists, advertising documented, weekly reports published. This is COMMUNICATION OUTPUT fully delivered.</t>
  </si>
  <si>
    <t>⭐⭐⭐⭐⭐</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</si>
  <si>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</si>
  <si>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</si>
  <si>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</si>
  <si>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</si>
  <si>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</si>
  <si>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Proactive signal identification and assessment (Objective 2)</t>
  </si>
  <si>
    <t>AESI list existed (good) but Plan committed to 'understanding safety profiles' including expected/background rates. These rates calculations not documented in accessible form. FOI 4029-03 proves capacity but outputs not published.</t>
  </si>
  <si>
    <t>⭐⭐⭐⭐</t>
  </si>
  <si>
    <t>✗ Not Documented</t>
  </si>
  <si>
    <t>Plan explicitly committed to 'specific protocols for investigating AEFI reports'. After searching 531 TRIM containers, zero COVID-specific protocols found. Senate testimony confirms routine processes used. Activity happened (148 investigations) but SPECIFIC PROTOCOLS not documented.</t>
  </si>
  <si>
    <t>FOI 4029-03 proves TGA HAD Strategy 2.3 capability (presented to ACV Sep 2021) but zero outputs in concurrent public reports. FOI 5275 (Aug 2024) confirms TGA 'does not hold incidence data' 3.5 years post-approval. Contradiction: capacity shown to ACV but not documented publicly.</t>
  </si>
  <si>
    <t>FOI 3643, FOI 25-0166, OAIC MR22/00538 searches, AusVaxSafety public reports, TGA weekly reports</t>
  </si>
  <si>
    <t>Massive active surveillance activity (6.8M surveys) demonstrating AusVaxSafety delivery. BUT Plan committed TGA to 'collaborate with AusVaxSafety' - collaboration PROTOCOLS not documented. No audit trail from surveys to TGA signals. Systems parallel not integrated (documented).</t>
  </si>
  <si>
    <t>AusVaxSafety 2023 Annual Report (6.8M surveys); Surveillance Analysis (no integration documented); OAIC MR22/00538 (did not search 'AusVaxSafety'); Phillips et al 2021 ('parallel systems')</t>
  </si>
  <si>
    <t>Plan committed to enhanced processes for analysing sponsor clinical studies/reports. Zero evidence of these processes after comprehensive OAIC searches (531 containers). FOI 5275 independent corroboration of documentation gaps.</t>
  </si>
  <si>
    <t>Plan committed to 'environmental scanning' of scientific literature and regulatory decisions. After searching 531 containers, zero systematic processes documented. Ad hoc scanning may have occurred but SYSTEMATIC PROCESSES not evidenced.</t>
  </si>
  <si>
    <t>International engagement occurred (ICMRA co-chair documented) but SYSTEMATIC PROCESSES for information sharing not documented. Plan committed to processes - these not evidenced. Activity happened but framework not documented.</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</si>
  <si>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</si>
  <si>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</si>
  <si>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Plan required governance/oversight mechanisms for 20 outputs. After searching 531 containers: ZERO governance documentation. Senate testimony direct admission: 'never systematically tracked'. This is TOTAL ABSENCE of Plan governance.</t>
  </si>
  <si>
    <t>Commonwealth PGPA Act s37 requires agencies explain performance. Plan specified 20 outputs requiring tracking. TOTAL ABSENCE of performance measurement: zero tracking, zero metrics, zero assessment across 33 months. Programme ceased (Nov 2023) without evaluation.</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</si>
  <si>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</si>
  <si>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</si>
  <si>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</si>
  <si>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Output 1.1: Enhanced AEFI reporting information published on TGA website + 150+ safety reports published. Output 1.2: Updated AEFI forms with COVID-19 fields publicly available. Output 3.1: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</si>
  <si>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4.1: Multiple data sources accessed but no systematic integration methodology documented.</t>
  </si>
  <si>
    <t>Output 2.2: Zero COVID-specific investigation protocols found in 531-container search. Output GOV.1: Zero oversight committee documentation; Senate testimony confirms "never systematically tracked". Output 2.3: Zero enhanced cumulative review processes despite Strategy 2.3 presentation to ACV.</t>
  </si>
  <si>
    <r>
      <t>Output 1.1 (communication)</t>
    </r>
    <r>
      <rPr>
        <sz val="12"/>
        <color theme="1"/>
        <rFont val="Calibri"/>
        <family val="2"/>
        <scheme val="minor"/>
      </rPr>
      <t xml:space="preserve"> = deliverable (reports exist) = Fully. </t>
    </r>
    <r>
      <rPr>
        <sz val="12"/>
        <color theme="1"/>
        <rFont val="Calibri"/>
        <family val="2"/>
        <scheme val="minor"/>
      </rPr>
      <t>Output 2.2 (investigation protocols)</t>
    </r>
    <r>
      <rPr>
        <sz val="12"/>
        <color theme="1"/>
        <rFont val="Calibri"/>
        <family val="2"/>
        <scheme val="minor"/>
      </rPr>
      <t xml:space="preserve"> = process (protocols not documented) = Not Documented. Different output types require different evidence.</t>
    </r>
  </si>
  <si>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</si>
  <si>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</si>
  <si>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Expert committees existed and functioned (ACV meetings documented, FOI 4029-03 shows engagement, VSIG operational per FOI 4029-05). BUT Plan committed to COVID-specific advisory arrangements including paediatric expertise - these not documented as distinct from routine ACV processes. Critical gap: FOI 4029-05 shows VSIG operational when child deaths occurred but deaths not referred for expert review; contradicts TGA Senate testimony claiming "burn out" prevented expert review when mechanism was actually operational. Demonstrates available expert processes not systematically utilised.</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</si>
  <si>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</si>
  <si>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</si>
  <si>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</si>
  <si>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</si>
  <si>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</si>
  <si>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</si>
  <si>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</si>
  <si>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</si>
  <si>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</si>
  <si>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</si>
  <si>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</si>
  <si>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</si>
  <si>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</si>
  <si>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</si>
  <si>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</si>
  <si>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</si>
  <si>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</si>
  <si>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</si>
  <si>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</si>
  <si>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</si>
  <si>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</si>
  <si>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</si>
  <si>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</si>
  <si>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</si>
  <si>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</si>
  <si>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</si>
  <si>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</si>
  <si>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</si>
  <si>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</si>
  <si>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</si>
  <si>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</si>
  <si>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</si>
  <si>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</si>
  <si>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</si>
  <si>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</si>
  <si>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</si>
  <si>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</si>
  <si>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</si>
  <si>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Actions (Regulatory)</t>
  </si>
  <si>
    <t>Communications</t>
  </si>
  <si>
    <t>Signal Detection</t>
  </si>
  <si>
    <t>Enhanced AEFI Reporting</t>
  </si>
  <si>
    <t>National Collaborations</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</si>
  <si>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</si>
  <si>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</si>
  <si>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</si>
  <si>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</si>
  <si>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</si>
  <si>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</si>
  <si>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150+ weekly/fortnightly safety reports published March 2021–November 2023; TGA media releases on regulatory actions; public website content; consumer information materials.
</t>
  </si>
  <si>
    <t xml:space="preserve">None – extensive public communication documented.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</si>
  <si>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</si>
  <si>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</si>
  <si>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</si>
  <si>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</si>
  <si>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Surveillance Analysis (148 signals; 57 regulatory actions);  Senate testimony (“day-to-day processes”); FOI 3643 and OAIC searches (no rapid response protocols).</t>
  </si>
  <si>
    <t>FOI 4029-03 (ACV received Strategy 2.3 Sep 2021); ACV Meeting Statements (published); OAIC MR22/00538 ('unable to meaningfully interpret' Objective 5 for advisory searches). FOI 4029-03 (ACV received Strategy 2.3 Sep 2021); FOI 4029-05 (VSIG operational, child deaths not referred); ACV Meeting Statements (published); Senate testimony (TGA "burn out" claim); OAIC MR22/00538 ('unable to meaningfully interpret' Objective 5 for advisory searches)</t>
  </si>
  <si>
    <t>Consolidate timely information sharing, communication and collaboration with national stakeholders on COVID-19 vaccine safety activities and issues. (Objective 5)</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</si>
  <si>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</si>
  <si>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</si>
  <si>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</si>
  <si>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</si>
  <si>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</si>
  <si>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r>
      <t>Integration/Coordination Outputs</t>
    </r>
    <r>
      <rPr>
        <sz val="12"/>
        <color theme="1"/>
        <rFont val="Calibri"/>
        <family val="2"/>
        <scheme val="minor"/>
      </rPr>
      <t xml:space="preserve"> (2.4, 4.1, 5.1. 5.2)</t>
    </r>
  </si>
  <si>
    <t>Governance (ISO 19011:2018 5.2.3)</t>
  </si>
  <si>
    <t>Programme assessement item: Governance and performance measurement (ISO 19011:2018 5.2.2 and 6.3.1)</t>
  </si>
  <si>
    <r>
      <t>Governance Outputs</t>
    </r>
    <r>
      <rPr>
        <sz val="12"/>
        <color theme="1"/>
        <rFont val="Calibri"/>
        <family val="2"/>
        <scheme val="minor"/>
      </rPr>
      <t xml:space="preserve"> (GOV.1, GOV.2)</t>
    </r>
    <r>
      <rPr>
        <b/>
        <sz val="11"/>
        <color theme="1"/>
        <rFont val="Calibri"/>
        <family val="2"/>
        <scheme val="minor"/>
      </rPr>
      <t xml:space="preserve">
</t>
    </r>
    <r>
      <rPr>
        <sz val="11"/>
        <color theme="1"/>
        <rFont val="Calibri"/>
        <family val="2"/>
        <scheme val="minor"/>
      </rPr>
      <t>(ISO 19011:2018 5.2.2 and 6.3.1)</t>
    </r>
  </si>
  <si>
    <r>
      <t>Complete Audit Documentation:</t>
    </r>
    <r>
      <rPr>
        <sz val="12"/>
        <color theme="1"/>
        <rFont val="Calibri"/>
        <family val="2"/>
        <scheme val="minor"/>
      </rPr>
      <t xml:space="preserve"> https://github.com/paulrekaris/TGA-COVID19-Vaccine-Safety-Monitoring-Audit</t>
    </r>
  </si>
  <si>
    <t>International Collaborations</t>
  </si>
  <si>
    <r>
      <t>Last Updated:</t>
    </r>
    <r>
      <rPr>
        <sz val="12"/>
        <color theme="1"/>
        <rFont val="Calibri"/>
        <family val="2"/>
        <scheme val="minor"/>
      </rPr>
      <t xml:space="preserve"> 16 March 2026</t>
    </r>
  </si>
  <si>
    <r>
      <rPr>
        <b/>
        <sz val="12"/>
        <color rgb="FF595959"/>
        <rFont val="Calibri (Body)"/>
      </rPr>
      <t>Last Updated:</t>
    </r>
    <r>
      <rPr>
        <sz val="12"/>
        <color theme="1"/>
        <rFont val="Calibri (Body)"/>
      </rPr>
      <t xml:space="preserve"> 16 March 2026</t>
    </r>
  </si>
  <si>
    <r>
      <rPr>
        <b/>
        <sz val="12"/>
        <color rgb="FF595959"/>
        <rFont val="Calibri (Body)"/>
      </rPr>
      <t>Methodology:</t>
    </r>
    <r>
      <rPr>
        <sz val="12"/>
        <color theme="1"/>
        <rFont val="Calibri"/>
        <family val="2"/>
        <scheme val="minor"/>
      </rPr>
      <t xml:space="preserve"> ISO 19011:2018 (evidence-based approach), ANAO Better Practice (performance assessment), Commonwealth accountability frameworks (PGPA Act s37, Archives Act 1983)</t>
    </r>
  </si>
  <si>
    <r>
      <t>Last Updated:</t>
    </r>
    <r>
      <rPr>
        <sz val="11"/>
        <color theme="1"/>
        <rFont val="Calibri"/>
        <family val="2"/>
        <scheme val="minor"/>
      </rPr>
      <t xml:space="preserve"> </t>
    </r>
    <r>
      <rPr>
        <sz val="11"/>
        <color theme="1"/>
        <rFont val="Calibri (Body)"/>
      </rPr>
      <t>16 March 2026</t>
    </r>
  </si>
  <si>
    <t>FOI 4029-03: TGA presented PRR/MaxSPRT/AIR-denominator methodology to Advisory Committee (Sep 2021); FOI 5275: TGA confirms it does not hold incidence data required by Strategy 2.3 AIR-denominator methodology (Aug 2024)</t>
  </si>
  <si>
    <t>FOI 4029-03 pp.4-6 (PRR≥1/cases≥2, MaxSPRT, AIR-denominator); FOI 5275 (TGA does not hold Strategy 2.3 incidence data); Surveillance Analysis (expected rates without methodology); OAIC searches found no cumulative review documentation</t>
  </si>
  <si>
    <t>FOI 4029-03 proves TGA HAD Strategy 2.3 capability (presented to ACV Sep 2021) but zero outputs in concurrent public reports. FOI 5275 (Aug 2024) confirms TGA does not hold incidence data required by Strategy 2.3 AIR-denominator methodology 3.5 years post-approval. Contradiction: capacity shown to ACV but not documented publicly.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</si>
</sst>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61"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1"/>
      <color rgb="FF006100"/>
      <name val="Calibri"/>
      <family val="2"/>
      <scheme val="minor"/>
    </font>
    <font>
      <sz val="14"/>
      <color rgb="FF006100"/>
      <name val="Calibri"/>
      <family val="2"/>
      <scheme val="minor"/>
    </font>
    <font>
      <b/>
      <sz val="11"/>
      <color rgb="FF9C5700"/>
      <name val="Calibri"/>
      <family val="2"/>
      <scheme val="minor"/>
    </font>
    <font>
      <sz val="14"/>
      <color rgb="FF9C5700"/>
      <name val="Calibri"/>
      <family val="2"/>
      <scheme val="minor"/>
    </font>
    <font>
      <sz val="14"/>
      <color rgb="FF9C0006"/>
      <name val="Calibri"/>
      <family val="2"/>
      <scheme val="minor"/>
    </font>
    <font>
      <sz val="11"/>
      <color theme="1"/>
      <name val="Consolas"/>
      <family val="2"/>
    </font>
    <font>
      <sz val="11"/>
      <color rgb="FF006100"/>
      <name val="Consolas"/>
      <family val="2"/>
    </font>
    <font>
      <sz val="11"/>
      <color rgb="FF9C5700"/>
      <name val="Consolas"/>
      <family val="2"/>
    </font>
    <font>
      <sz val="11"/>
      <color rgb="FF9C0006"/>
      <name val="Consolas"/>
      <family val="2"/>
    </font>
    <font>
      <b/>
      <i/>
      <sz val="11"/>
      <color theme="1"/>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u/>
      <sz val="11"/>
      <color rgb="FF0563C1"/>
      <name val="Calibri"/>
      <family val="2"/>
      <scheme val="minor"/>
    </font>
    <font>
      <b/>
      <sz val="10"/>
      <color rgb="FF595959"/>
      <name val="Calibri"/>
      <family val="2"/>
      <scheme val="minor"/>
    </font>
    <font>
      <b/>
      <u/>
      <sz val="10"/>
      <color rgb="FF0563C1"/>
      <name val="Calibri"/>
      <family val="2"/>
      <scheme val="minor"/>
    </font>
    <font>
      <sz val="11"/>
      <color rgb="FF333333"/>
      <name val="Consolas"/>
      <family val="2"/>
    </font>
    <font>
      <b/>
      <sz val="13"/>
      <color rgb="FF006100"/>
      <name val="Calibri"/>
      <family val="2"/>
      <scheme val="minor"/>
    </font>
    <font>
      <b/>
      <sz val="13"/>
      <color rgb="FF9C5700"/>
      <name val="Calibri"/>
      <family val="2"/>
      <scheme val="minor"/>
    </font>
    <font>
      <b/>
      <sz val="13"/>
      <color rgb="FF9C0006"/>
      <name val="Calibri"/>
      <family val="2"/>
      <scheme val="minor"/>
    </font>
    <font>
      <b/>
      <sz val="20"/>
      <color rgb="FFFFFFFF"/>
      <name val="Calibri"/>
      <family val="2"/>
    </font>
    <font>
      <sz val="11"/>
      <color indexed="8"/>
      <name val="Calibri"/>
      <family val="2"/>
    </font>
    <font>
      <b/>
      <sz val="12"/>
      <color rgb="FF595959"/>
      <name val="Calibri"/>
      <family val="2"/>
      <scheme val="minor"/>
    </font>
    <font>
      <sz val="12"/>
      <color theme="1"/>
      <name val="Calibri (Body)"/>
    </font>
    <font>
      <b/>
      <sz val="12"/>
      <color rgb="FF595959"/>
      <name val="Calibri (Body)"/>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b/>
      <sz val="20"/>
      <color rgb="FF1F4E79"/>
      <name val="Calibri"/>
      <family val="2"/>
      <scheme val="minor"/>
    </font>
    <font>
      <b/>
      <sz val="20"/>
      <color theme="3"/>
      <name val="Calibri"/>
      <family val="2"/>
      <scheme val="minor"/>
    </font>
    <font>
      <sz val="20"/>
      <color theme="1"/>
      <name val="Calibri"/>
      <family val="2"/>
      <scheme val="minor"/>
    </font>
  </fonts>
  <fills count="15">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8F9FA"/>
        <bgColor indexed="64"/>
      </patternFill>
    </fill>
  </fills>
  <borders count="68">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right/>
      <top/>
      <bottom style="medium">
        <color rgb="FF9C0006"/>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thin">
        <color rgb="FFB4C6E7"/>
      </left>
      <right/>
      <top/>
      <bottom/>
      <diagonal/>
    </border>
    <border>
      <left/>
      <right style="thin">
        <color rgb="FFB4C6E7"/>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auto="1"/>
      </left>
      <right/>
      <top/>
      <bottom/>
      <diagonal/>
    </border>
  </borders>
  <cellStyleXfs count="3">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cellStyleXfs>
  <cellXfs count="281">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horizontal="center"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5" fillId="2" borderId="0" xfId="0" applyFont="1" applyFill="1" applyAlignment="1">
      <alignment vertical="top" wrapText="1"/>
    </xf>
    <xf numFmtId="0" fontId="16" fillId="0" borderId="0" xfId="0" applyFont="1" applyAlignment="1">
      <alignment horizontal="left" vertical="top" wrapText="1"/>
    </xf>
    <xf numFmtId="0" fontId="16" fillId="9" borderId="0" xfId="0" applyFont="1" applyFill="1" applyAlignment="1">
      <alignment horizontal="left" vertical="top" wrapText="1"/>
    </xf>
    <xf numFmtId="0" fontId="16" fillId="0" borderId="0" xfId="0" applyFont="1" applyAlignment="1">
      <alignment vertical="top" wrapText="1"/>
    </xf>
    <xf numFmtId="0" fontId="16" fillId="9" borderId="0" xfId="0" applyFont="1" applyFill="1" applyAlignment="1">
      <alignment vertical="top" wrapText="1"/>
    </xf>
    <xf numFmtId="0" fontId="18" fillId="0" borderId="0" xfId="0" applyFont="1" applyAlignment="1">
      <alignment vertical="top" wrapText="1"/>
    </xf>
    <xf numFmtId="0" fontId="18" fillId="9" borderId="0" xfId="0" applyFont="1" applyFill="1" applyAlignment="1">
      <alignment vertical="top" wrapText="1"/>
    </xf>
    <xf numFmtId="0" fontId="15" fillId="2" borderId="0" xfId="0" applyFont="1" applyFill="1" applyAlignment="1">
      <alignment horizontal="left" vertical="top" wrapText="1"/>
    </xf>
    <xf numFmtId="0" fontId="15" fillId="2" borderId="4" xfId="0" applyFont="1" applyFill="1" applyBorder="1" applyAlignment="1">
      <alignment vertical="top" wrapText="1"/>
    </xf>
    <xf numFmtId="0" fontId="15" fillId="2" borderId="5" xfId="0" applyFont="1" applyFill="1" applyBorder="1" applyAlignment="1">
      <alignment vertical="top" wrapText="1"/>
    </xf>
    <xf numFmtId="0" fontId="15" fillId="2" borderId="6" xfId="0" applyFont="1" applyFill="1" applyBorder="1" applyAlignment="1">
      <alignment vertical="top" wrapText="1"/>
    </xf>
    <xf numFmtId="0" fontId="22" fillId="3" borderId="7" xfId="0" applyFont="1" applyFill="1" applyBorder="1" applyAlignment="1">
      <alignment vertical="top" wrapText="1"/>
    </xf>
    <xf numFmtId="0" fontId="23" fillId="3" borderId="3" xfId="0" applyFont="1" applyFill="1" applyBorder="1" applyAlignment="1">
      <alignment horizontal="center" vertical="top" wrapText="1"/>
    </xf>
    <xf numFmtId="0" fontId="16" fillId="3" borderId="3" xfId="0" applyFont="1" applyFill="1" applyBorder="1" applyAlignment="1">
      <alignment vertical="top" wrapText="1"/>
    </xf>
    <xf numFmtId="0" fontId="18" fillId="3" borderId="8" xfId="0" applyFont="1" applyFill="1" applyBorder="1" applyAlignment="1">
      <alignment vertical="top" wrapText="1"/>
    </xf>
    <xf numFmtId="0" fontId="24" fillId="4" borderId="9" xfId="0" applyFont="1" applyFill="1" applyBorder="1" applyAlignment="1">
      <alignment vertical="top" wrapText="1"/>
    </xf>
    <xf numFmtId="0" fontId="25" fillId="4" borderId="2" xfId="0" applyFont="1" applyFill="1" applyBorder="1" applyAlignment="1">
      <alignment horizontal="center" vertical="top" wrapText="1"/>
    </xf>
    <xf numFmtId="0" fontId="16" fillId="4" borderId="2" xfId="0" applyFont="1" applyFill="1" applyBorder="1" applyAlignment="1">
      <alignment vertical="top" wrapText="1"/>
    </xf>
    <xf numFmtId="0" fontId="18" fillId="4" borderId="10" xfId="0" applyFont="1" applyFill="1" applyBorder="1" applyAlignment="1">
      <alignment vertical="top" wrapText="1"/>
    </xf>
    <xf numFmtId="0" fontId="15" fillId="2" borderId="4" xfId="0" applyFont="1" applyFill="1" applyBorder="1" applyAlignment="1">
      <alignment horizontal="lef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6" xfId="0" applyFill="1" applyBorder="1" applyAlignment="1">
      <alignment horizontal="center" vertical="top"/>
    </xf>
    <xf numFmtId="0" fontId="0" fillId="0" borderId="26" xfId="0" applyBorder="1" applyAlignment="1">
      <alignment horizontal="center" vertical="top"/>
    </xf>
    <xf numFmtId="0" fontId="0" fillId="0" borderId="25" xfId="0" applyBorder="1" applyAlignment="1">
      <alignment horizontal="center" vertical="top"/>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38" fillId="0" borderId="0" xfId="2" applyNumberFormat="1" applyFont="1" applyBorder="1" applyAlignment="1">
      <alignment vertical="top"/>
    </xf>
    <xf numFmtId="0" fontId="38" fillId="0" borderId="0" xfId="2" applyNumberFormat="1" applyFont="1" applyAlignment="1">
      <alignment vertical="top"/>
    </xf>
    <xf numFmtId="0" fontId="0" fillId="0" borderId="21" xfId="0" applyBorder="1" applyAlignment="1">
      <alignment horizontal="center" vertical="top" wrapText="1"/>
    </xf>
    <xf numFmtId="0" fontId="12" fillId="0" borderId="0" xfId="2" applyNumberFormat="1" applyAlignment="1">
      <alignment horizontal="left" vertical="top"/>
    </xf>
    <xf numFmtId="0" fontId="18" fillId="12" borderId="0" xfId="0" applyFont="1" applyFill="1" applyAlignment="1">
      <alignment vertical="top" wrapText="1"/>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9" xfId="0" applyFont="1" applyFill="1" applyBorder="1" applyAlignment="1">
      <alignment vertical="top" wrapText="1"/>
    </xf>
    <xf numFmtId="0" fontId="16" fillId="9" borderId="36" xfId="0" applyFont="1" applyFill="1" applyBorder="1" applyAlignment="1">
      <alignment vertical="top" wrapText="1"/>
    </xf>
    <xf numFmtId="0" fontId="16" fillId="9" borderId="39" xfId="0" applyFont="1" applyFill="1" applyBorder="1" applyAlignment="1">
      <alignment vertical="top" wrapText="1"/>
    </xf>
    <xf numFmtId="0" fontId="16" fillId="9" borderId="35" xfId="0" applyFont="1" applyFill="1" applyBorder="1" applyAlignment="1">
      <alignment horizontal="center" vertical="center" wrapText="1"/>
    </xf>
    <xf numFmtId="0" fontId="16" fillId="13" borderId="38" xfId="0" applyFont="1" applyFill="1" applyBorder="1" applyAlignment="1">
      <alignment horizontal="center" vertical="center" wrapText="1"/>
    </xf>
    <xf numFmtId="0" fontId="16" fillId="9" borderId="38"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 xfId="0" applyFill="1" applyBorder="1" applyAlignment="1">
      <alignment vertical="top" wrapText="1"/>
    </xf>
    <xf numFmtId="0" fontId="0" fillId="13" borderId="40" xfId="0" applyFill="1" applyBorder="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3" xfId="0" applyFill="1" applyBorder="1" applyAlignment="1">
      <alignment vertical="top" wrapText="1"/>
    </xf>
    <xf numFmtId="0" fontId="0" fillId="13" borderId="33" xfId="0" applyFill="1" applyBorder="1" applyAlignment="1">
      <alignment vertical="top" wrapText="1"/>
    </xf>
    <xf numFmtId="0" fontId="0" fillId="13" borderId="30" xfId="0" applyFill="1" applyBorder="1" applyAlignment="1">
      <alignment vertical="top" wrapText="1"/>
    </xf>
    <xf numFmtId="0" fontId="15" fillId="2" borderId="48" xfId="0" applyFont="1" applyFill="1" applyBorder="1" applyAlignment="1">
      <alignment horizontal="center" vertical="center" wrapText="1"/>
    </xf>
    <xf numFmtId="0" fontId="16" fillId="9" borderId="49" xfId="0" applyFont="1" applyFill="1" applyBorder="1" applyAlignment="1">
      <alignment vertical="top" wrapText="1"/>
    </xf>
    <xf numFmtId="0" fontId="16" fillId="13" borderId="50" xfId="0" applyFont="1" applyFill="1" applyBorder="1" applyAlignment="1">
      <alignment vertical="top" wrapText="1"/>
    </xf>
    <xf numFmtId="0" fontId="16" fillId="9" borderId="50" xfId="0" applyFont="1" applyFill="1" applyBorder="1" applyAlignment="1">
      <alignment vertical="top" wrapText="1"/>
    </xf>
    <xf numFmtId="0" fontId="16" fillId="9" borderId="51" xfId="0" applyFont="1" applyFill="1" applyBorder="1" applyAlignment="1">
      <alignment vertical="top" wrapText="1"/>
    </xf>
    <xf numFmtId="0" fontId="15" fillId="2" borderId="52" xfId="0" applyFont="1" applyFill="1" applyBorder="1" applyAlignment="1">
      <alignment horizontal="center" vertical="center" wrapText="1"/>
    </xf>
    <xf numFmtId="0" fontId="15" fillId="2" borderId="53" xfId="0" applyFont="1" applyFill="1" applyBorder="1" applyAlignment="1">
      <alignment horizontal="center" vertical="center" wrapText="1"/>
    </xf>
    <xf numFmtId="0" fontId="18" fillId="9" borderId="35" xfId="0" applyFont="1" applyFill="1" applyBorder="1" applyAlignment="1">
      <alignment vertical="top" wrapText="1"/>
    </xf>
    <xf numFmtId="0" fontId="18" fillId="13" borderId="38" xfId="0" applyFont="1" applyFill="1" applyBorder="1" applyAlignment="1">
      <alignment vertical="top" wrapText="1"/>
    </xf>
    <xf numFmtId="0" fontId="18" fillId="9" borderId="37" xfId="0" applyFont="1" applyFill="1" applyBorder="1" applyAlignment="1">
      <alignment vertical="top" wrapText="1"/>
    </xf>
    <xf numFmtId="0" fontId="15" fillId="2" borderId="54" xfId="0" applyFont="1" applyFill="1" applyBorder="1" applyAlignment="1">
      <alignment horizontal="center" vertical="center" wrapText="1"/>
    </xf>
    <xf numFmtId="0" fontId="18" fillId="9" borderId="38"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applyAlignment="1">
      <alignment horizontal="center" vertical="top" wrapText="1"/>
    </xf>
    <xf numFmtId="0" fontId="0" fillId="13" borderId="3" xfId="0" applyFill="1" applyBorder="1" applyAlignment="1">
      <alignment horizontal="center" vertical="top" wrapText="1"/>
    </xf>
    <xf numFmtId="0" fontId="15" fillId="2" borderId="55" xfId="0" applyFont="1" applyFill="1" applyBorder="1" applyAlignment="1">
      <alignment vertical="top" wrapText="1"/>
    </xf>
    <xf numFmtId="0" fontId="15" fillId="2" borderId="0" xfId="0" applyFont="1" applyFill="1" applyAlignment="1">
      <alignment horizontal="center" vertical="top" wrapText="1"/>
    </xf>
    <xf numFmtId="0" fontId="15" fillId="2" borderId="56" xfId="0" applyFont="1" applyFill="1" applyBorder="1" applyAlignment="1">
      <alignment vertical="top" wrapText="1"/>
    </xf>
    <xf numFmtId="0" fontId="21" fillId="5" borderId="9" xfId="0" applyFont="1" applyFill="1" applyBorder="1" applyAlignment="1">
      <alignment vertical="top" wrapText="1"/>
    </xf>
    <xf numFmtId="0" fontId="26" fillId="5" borderId="2" xfId="0" applyFont="1" applyFill="1" applyBorder="1" applyAlignment="1">
      <alignment horizontal="center" vertical="top" wrapText="1"/>
    </xf>
    <xf numFmtId="0" fontId="16" fillId="5" borderId="2" xfId="0" applyFont="1" applyFill="1" applyBorder="1" applyAlignment="1">
      <alignment vertical="top" wrapText="1"/>
    </xf>
    <xf numFmtId="0" fontId="18" fillId="5" borderId="10" xfId="0" applyFont="1" applyFill="1" applyBorder="1" applyAlignment="1">
      <alignment vertical="top" wrapText="1"/>
    </xf>
    <xf numFmtId="0" fontId="0" fillId="13" borderId="40" xfId="0" applyFill="1" applyBorder="1" applyAlignment="1">
      <alignment horizontal="center" vertical="top" wrapText="1"/>
    </xf>
    <xf numFmtId="0" fontId="0" fillId="13" borderId="30" xfId="0" applyFill="1" applyBorder="1" applyAlignment="1">
      <alignment horizontal="center" vertical="top" wrapText="1"/>
    </xf>
    <xf numFmtId="0" fontId="0" fillId="13" borderId="0" xfId="0" applyFill="1" applyAlignment="1">
      <alignment vertical="top"/>
    </xf>
    <xf numFmtId="0" fontId="0" fillId="13" borderId="0" xfId="0" applyFill="1" applyAlignment="1">
      <alignment horizontal="center" vertical="top"/>
    </xf>
    <xf numFmtId="0" fontId="0" fillId="13" borderId="3" xfId="0" applyFill="1" applyBorder="1" applyAlignment="1">
      <alignment vertical="top"/>
    </xf>
    <xf numFmtId="0" fontId="0" fillId="13" borderId="3" xfId="0" applyFill="1" applyBorder="1" applyAlignment="1">
      <alignment horizontal="center" vertical="top"/>
    </xf>
    <xf numFmtId="0" fontId="0" fillId="13" borderId="60" xfId="0" applyFill="1" applyBorder="1" applyAlignment="1">
      <alignment vertical="top"/>
    </xf>
    <xf numFmtId="0" fontId="0" fillId="13" borderId="60" xfId="0" applyFill="1" applyBorder="1" applyAlignment="1">
      <alignment horizontal="center" vertical="top"/>
    </xf>
    <xf numFmtId="0" fontId="0" fillId="13" borderId="60" xfId="0" applyFill="1" applyBorder="1" applyAlignment="1">
      <alignment vertical="top" wrapText="1"/>
    </xf>
    <xf numFmtId="0" fontId="0" fillId="13" borderId="61" xfId="0" applyFill="1" applyBorder="1" applyAlignment="1">
      <alignment vertical="top"/>
    </xf>
    <xf numFmtId="0" fontId="0" fillId="13" borderId="61" xfId="0" applyFill="1" applyBorder="1" applyAlignment="1">
      <alignment vertical="top" wrapText="1"/>
    </xf>
    <xf numFmtId="0" fontId="0" fillId="13" borderId="33" xfId="0" applyFill="1" applyBorder="1" applyAlignment="1">
      <alignment vertical="top"/>
    </xf>
    <xf numFmtId="0" fontId="16" fillId="13" borderId="0" xfId="0" applyFont="1" applyFill="1" applyAlignment="1">
      <alignment vertical="top"/>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5" xfId="0" applyFont="1" applyFill="1" applyBorder="1" applyAlignment="1">
      <alignment vertical="center"/>
    </xf>
    <xf numFmtId="0" fontId="0" fillId="0" borderId="3" xfId="0" applyBorder="1" applyAlignment="1">
      <alignment horizontal="center" vertical="center"/>
    </xf>
    <xf numFmtId="0" fontId="3" fillId="4" borderId="38" xfId="0" applyFont="1" applyFill="1" applyBorder="1" applyAlignment="1">
      <alignment vertical="center"/>
    </xf>
    <xf numFmtId="0" fontId="0" fillId="0" borderId="39" xfId="0" applyBorder="1" applyAlignment="1">
      <alignment horizontal="center" vertical="center"/>
    </xf>
    <xf numFmtId="0" fontId="2" fillId="5" borderId="38" xfId="0" applyFont="1" applyFill="1" applyBorder="1" applyAlignment="1">
      <alignment vertical="center"/>
    </xf>
    <xf numFmtId="0" fontId="4" fillId="0" borderId="62"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5" xfId="0" applyFill="1" applyBorder="1" applyAlignment="1">
      <alignment vertical="center"/>
    </xf>
    <xf numFmtId="0" fontId="0" fillId="9" borderId="3" xfId="0" applyFill="1" applyBorder="1" applyAlignment="1">
      <alignment horizontal="center" vertical="center"/>
    </xf>
    <xf numFmtId="0" fontId="4" fillId="9" borderId="49" xfId="0" applyFont="1" applyFill="1" applyBorder="1" applyAlignment="1">
      <alignment horizontal="center" vertical="center"/>
    </xf>
    <xf numFmtId="0" fontId="0" fillId="0" borderId="38" xfId="0" applyBorder="1" applyAlignment="1">
      <alignment horizontal="left" vertical="center"/>
    </xf>
    <xf numFmtId="0" fontId="4" fillId="0" borderId="50" xfId="0" applyFont="1" applyBorder="1" applyAlignment="1">
      <alignment horizontal="center" vertical="center"/>
    </xf>
    <xf numFmtId="0" fontId="0" fillId="9" borderId="38" xfId="0" applyFill="1" applyBorder="1" applyAlignment="1">
      <alignment vertical="center"/>
    </xf>
    <xf numFmtId="0" fontId="0" fillId="9" borderId="39" xfId="0" applyFill="1" applyBorder="1" applyAlignment="1">
      <alignment horizontal="center" vertical="center"/>
    </xf>
    <xf numFmtId="0" fontId="4" fillId="9" borderId="50" xfId="0" applyFont="1" applyFill="1" applyBorder="1" applyAlignment="1">
      <alignment horizontal="center" vertical="center"/>
    </xf>
    <xf numFmtId="0" fontId="0" fillId="0" borderId="38" xfId="0" applyBorder="1" applyAlignment="1">
      <alignment vertical="center"/>
    </xf>
    <xf numFmtId="0" fontId="4" fillId="6" borderId="62" xfId="0" applyFont="1" applyFill="1" applyBorder="1" applyAlignment="1">
      <alignment vertical="center"/>
    </xf>
    <xf numFmtId="0" fontId="4" fillId="6" borderId="4" xfId="0" applyFont="1" applyFill="1" applyBorder="1" applyAlignment="1">
      <alignment horizontal="center" vertical="center"/>
    </xf>
    <xf numFmtId="0" fontId="4" fillId="6" borderId="63"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9" xfId="0" applyBorder="1" applyAlignment="1">
      <alignment horizontal="center" vertical="center"/>
    </xf>
    <xf numFmtId="164" fontId="0" fillId="0" borderId="39" xfId="0" applyNumberFormat="1" applyBorder="1" applyAlignment="1">
      <alignment horizontal="center" vertical="center"/>
    </xf>
    <xf numFmtId="0" fontId="0" fillId="0" borderId="50" xfId="0" applyBorder="1" applyAlignment="1">
      <alignment horizontal="center" vertical="center"/>
    </xf>
    <xf numFmtId="165" fontId="0" fillId="0" borderId="49" xfId="0" applyNumberFormat="1" applyBorder="1" applyAlignment="1">
      <alignment horizontal="center" vertical="center"/>
    </xf>
    <xf numFmtId="165" fontId="0" fillId="0" borderId="50" xfId="0" applyNumberFormat="1" applyBorder="1" applyAlignment="1">
      <alignment horizontal="center" vertical="center"/>
    </xf>
    <xf numFmtId="165" fontId="4" fillId="0" borderId="63" xfId="0" applyNumberFormat="1" applyFont="1" applyBorder="1" applyAlignment="1">
      <alignment horizontal="center" vertical="center"/>
    </xf>
    <xf numFmtId="49" fontId="33" fillId="9" borderId="14" xfId="2" applyNumberFormat="1" applyFont="1" applyFill="1" applyBorder="1">
      <alignment vertical="top" wrapText="1"/>
    </xf>
    <xf numFmtId="49" fontId="33" fillId="9" borderId="1" xfId="2" applyNumberFormat="1" applyFont="1" applyFill="1" applyBorder="1">
      <alignment vertical="top" wrapText="1"/>
    </xf>
    <xf numFmtId="49" fontId="34" fillId="3" borderId="1" xfId="2" applyNumberFormat="1" applyFont="1" applyFill="1" applyBorder="1" applyAlignment="1">
      <alignment horizontal="center" vertical="top" wrapText="1"/>
    </xf>
    <xf numFmtId="49" fontId="33" fillId="9" borderId="11" xfId="2" applyNumberFormat="1" applyFont="1" applyFill="1" applyBorder="1">
      <alignment vertical="top" wrapText="1"/>
    </xf>
    <xf numFmtId="49" fontId="33" fillId="0" borderId="14" xfId="2" applyNumberFormat="1" applyFont="1" applyBorder="1">
      <alignment vertical="top" wrapText="1"/>
    </xf>
    <xf numFmtId="49" fontId="33" fillId="0" borderId="1" xfId="2" applyNumberFormat="1" applyFont="1" applyBorder="1">
      <alignment vertical="top" wrapText="1"/>
    </xf>
    <xf numFmtId="49" fontId="33" fillId="0" borderId="11" xfId="2" applyNumberFormat="1" applyFont="1" applyBorder="1">
      <alignment vertical="top" wrapText="1"/>
    </xf>
    <xf numFmtId="49" fontId="35" fillId="4" borderId="1" xfId="2" applyNumberFormat="1" applyFont="1" applyFill="1" applyBorder="1" applyAlignment="1">
      <alignment horizontal="center" vertical="top" wrapText="1"/>
    </xf>
    <xf numFmtId="49" fontId="36" fillId="5" borderId="1" xfId="2" applyNumberFormat="1" applyFont="1" applyFill="1" applyBorder="1" applyAlignment="1">
      <alignment horizontal="center" vertical="top" wrapText="1"/>
    </xf>
    <xf numFmtId="49" fontId="33" fillId="7" borderId="14" xfId="2" applyNumberFormat="1" applyFont="1" applyFill="1" applyBorder="1">
      <alignment vertical="top" wrapText="1"/>
    </xf>
    <xf numFmtId="49" fontId="33" fillId="7" borderId="1" xfId="2" applyNumberFormat="1" applyFont="1" applyFill="1" applyBorder="1">
      <alignment vertical="top" wrapText="1"/>
    </xf>
    <xf numFmtId="49" fontId="33" fillId="7" borderId="11" xfId="2" applyNumberFormat="1" applyFont="1" applyFill="1" applyBorder="1">
      <alignment vertical="top" wrapText="1"/>
    </xf>
    <xf numFmtId="49" fontId="33" fillId="7" borderId="15" xfId="2" applyNumberFormat="1" applyFont="1" applyFill="1" applyBorder="1">
      <alignment vertical="top" wrapText="1"/>
    </xf>
    <xf numFmtId="49" fontId="36" fillId="5" borderId="15" xfId="2" applyNumberFormat="1" applyFont="1" applyFill="1" applyBorder="1" applyAlignment="1">
      <alignment horizontal="center" vertical="top" wrapText="1"/>
    </xf>
    <xf numFmtId="49" fontId="33" fillId="7" borderId="13" xfId="2" applyNumberFormat="1" applyFont="1" applyFill="1" applyBorder="1">
      <alignment vertical="top" wrapText="1"/>
    </xf>
    <xf numFmtId="49" fontId="36" fillId="5" borderId="16" xfId="2" applyNumberFormat="1" applyFont="1" applyFill="1" applyBorder="1" applyAlignment="1">
      <alignment horizontal="center" vertical="top" wrapText="1"/>
    </xf>
    <xf numFmtId="49" fontId="50" fillId="9" borderId="23" xfId="2" applyNumberFormat="1" applyFont="1" applyFill="1" applyBorder="1" applyAlignment="1">
      <alignment horizontal="center" vertical="center" wrapText="1"/>
    </xf>
    <xf numFmtId="49" fontId="50" fillId="0" borderId="23" xfId="2" applyNumberFormat="1" applyFont="1" applyBorder="1" applyAlignment="1">
      <alignment horizontal="center" vertical="center" wrapText="1"/>
    </xf>
    <xf numFmtId="49" fontId="50" fillId="9" borderId="22" xfId="2" applyNumberFormat="1" applyFont="1" applyFill="1" applyBorder="1" applyAlignment="1">
      <alignment horizontal="center" vertical="center" wrapText="1"/>
    </xf>
    <xf numFmtId="49" fontId="50" fillId="7" borderId="23" xfId="2" applyNumberFormat="1" applyFont="1" applyFill="1" applyBorder="1" applyAlignment="1">
      <alignment horizontal="center" vertical="center" wrapText="1"/>
    </xf>
    <xf numFmtId="49" fontId="50" fillId="9" borderId="1" xfId="2" applyNumberFormat="1" applyFont="1" applyFill="1" applyBorder="1" applyAlignment="1">
      <alignment horizontal="center" vertical="center" wrapText="1"/>
    </xf>
    <xf numFmtId="0" fontId="32" fillId="9" borderId="17" xfId="2" applyNumberFormat="1" applyFont="1" applyFill="1" applyBorder="1" applyAlignment="1">
      <alignment horizontal="center" vertical="center" wrapText="1"/>
    </xf>
    <xf numFmtId="0" fontId="32" fillId="7" borderId="17" xfId="2" applyNumberFormat="1" applyFont="1" applyFill="1" applyBorder="1" applyAlignment="1">
      <alignment horizontal="center" vertical="center" wrapText="1"/>
    </xf>
    <xf numFmtId="49" fontId="32" fillId="9" borderId="1" xfId="2" applyNumberFormat="1" applyFont="1" applyFill="1" applyBorder="1" applyAlignment="1">
      <alignment horizontal="center" vertical="center" wrapText="1"/>
    </xf>
    <xf numFmtId="49" fontId="32" fillId="7" borderId="15" xfId="2" applyNumberFormat="1" applyFont="1" applyFill="1" applyBorder="1" applyAlignment="1">
      <alignment horizontal="center" vertical="center" wrapText="1"/>
    </xf>
    <xf numFmtId="49" fontId="56" fillId="2" borderId="18" xfId="2" applyNumberFormat="1" applyFont="1" applyFill="1" applyBorder="1" applyAlignment="1">
      <alignment horizontal="center" vertical="center" wrapText="1"/>
    </xf>
    <xf numFmtId="49" fontId="56" fillId="2" borderId="19" xfId="2" applyNumberFormat="1" applyFont="1" applyFill="1" applyBorder="1" applyAlignment="1">
      <alignment horizontal="center" vertical="center" wrapText="1"/>
    </xf>
    <xf numFmtId="49" fontId="56" fillId="2" borderId="12" xfId="2" applyNumberFormat="1" applyFont="1" applyFill="1" applyBorder="1" applyAlignment="1">
      <alignment horizontal="center" vertical="center" wrapText="1"/>
    </xf>
    <xf numFmtId="49" fontId="56" fillId="2" borderId="20" xfId="2" applyNumberFormat="1" applyFont="1" applyFill="1" applyBorder="1" applyAlignment="1">
      <alignment horizontal="center" vertical="center" wrapText="1"/>
    </xf>
    <xf numFmtId="49" fontId="56" fillId="2" borderId="64" xfId="2" applyNumberFormat="1" applyFont="1" applyFill="1" applyBorder="1" applyAlignment="1">
      <alignment horizontal="center" vertical="center" wrapText="1"/>
    </xf>
    <xf numFmtId="0" fontId="57" fillId="0" borderId="0" xfId="2" applyNumberFormat="1" applyFont="1" applyBorder="1" applyAlignment="1">
      <alignment vertical="top"/>
    </xf>
    <xf numFmtId="0" fontId="57" fillId="0" borderId="0" xfId="2" applyNumberFormat="1" applyFont="1" applyAlignment="1">
      <alignment vertical="top"/>
    </xf>
    <xf numFmtId="0" fontId="0" fillId="0" borderId="26" xfId="0" applyBorder="1" applyAlignment="1">
      <alignment horizontal="left" vertical="top" wrapText="1"/>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7" xfId="0" applyBorder="1" applyAlignment="1">
      <alignment horizontal="left" vertical="top" wrapText="1"/>
    </xf>
    <xf numFmtId="0" fontId="60" fillId="8" borderId="0" xfId="0" applyFont="1" applyFill="1" applyAlignment="1">
      <alignment vertical="top" wrapText="1"/>
    </xf>
    <xf numFmtId="0" fontId="60" fillId="0" borderId="0" xfId="0" applyFont="1" applyAlignment="1">
      <alignment vertical="top" wrapText="1"/>
    </xf>
    <xf numFmtId="0" fontId="0" fillId="13" borderId="34" xfId="0" applyFill="1" applyBorder="1" applyAlignment="1">
      <alignment horizontal="lef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0" fontId="49" fillId="2" borderId="65" xfId="2" applyFont="1" applyFill="1" applyBorder="1" applyAlignment="1">
      <alignment horizontal="left" vertical="center" indent="1"/>
    </xf>
    <xf numFmtId="0" fontId="49" fillId="2" borderId="66" xfId="2" applyFont="1" applyFill="1" applyBorder="1" applyAlignment="1">
      <alignment horizontal="left" vertical="center"/>
    </xf>
    <xf numFmtId="0" fontId="40" fillId="2" borderId="0" xfId="0" applyFont="1" applyFill="1" applyAlignment="1">
      <alignment vertical="center" indent="1"/>
    </xf>
    <xf numFmtId="0" fontId="40" fillId="2" borderId="0" xfId="0" applyFont="1" applyFill="1" applyAlignment="1">
      <alignment vertical="center"/>
    </xf>
    <xf numFmtId="0" fontId="51" fillId="8" borderId="0" xfId="0" applyFont="1" applyFill="1" applyAlignment="1">
      <alignment vertical="center" wrapText="1" indent="1"/>
    </xf>
    <xf numFmtId="0" fontId="51" fillId="8" borderId="0" xfId="0" applyFont="1" applyFill="1" applyAlignment="1">
      <alignment vertical="center" wrapText="1"/>
    </xf>
    <xf numFmtId="0" fontId="14" fillId="8" borderId="0" xfId="0" applyFont="1" applyFill="1" applyAlignment="1">
      <alignment vertical="center" wrapText="1" indent="1"/>
    </xf>
    <xf numFmtId="0" fontId="14" fillId="8" borderId="0" xfId="0" applyFont="1" applyFill="1" applyAlignment="1">
      <alignment vertical="center" wrapText="1"/>
    </xf>
    <xf numFmtId="0" fontId="40" fillId="2" borderId="0" xfId="0" applyFont="1" applyFill="1" applyAlignment="1">
      <alignment horizontal="left" vertical="center" wrapText="1" indent="1"/>
    </xf>
    <xf numFmtId="0" fontId="4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41" fillId="0" borderId="0" xfId="1" applyFont="1" applyAlignment="1">
      <alignment vertical="center" wrapText="1" indent="1"/>
    </xf>
    <xf numFmtId="0" fontId="41" fillId="0" borderId="0" xfId="1" applyFont="1" applyAlignment="1">
      <alignment vertical="center" wrapText="1"/>
    </xf>
    <xf numFmtId="0" fontId="42" fillId="0" borderId="0" xfId="0" applyFont="1" applyAlignment="1">
      <alignment vertical="center" wrapText="1" indent="1"/>
    </xf>
    <xf numFmtId="0" fontId="42" fillId="0" borderId="0" xfId="0" applyFont="1" applyAlignment="1">
      <alignment vertical="center"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4" fillId="8" borderId="0" xfId="0" applyFont="1" applyFill="1" applyAlignment="1">
      <alignment horizontal="left" vertical="center" wrapText="1"/>
    </xf>
    <xf numFmtId="0" fontId="19" fillId="10" borderId="41" xfId="0" applyFont="1" applyFill="1" applyBorder="1" applyAlignment="1">
      <alignment vertical="center" wrapText="1" indent="1"/>
    </xf>
    <xf numFmtId="0" fontId="19" fillId="10" borderId="0" xfId="0" applyFont="1" applyFill="1" applyAlignment="1">
      <alignment vertical="center" wrapText="1"/>
    </xf>
    <xf numFmtId="0" fontId="19" fillId="10" borderId="42" xfId="0" applyFont="1" applyFill="1" applyBorder="1" applyAlignment="1">
      <alignment vertical="center" wrapText="1"/>
    </xf>
    <xf numFmtId="0" fontId="20" fillId="10" borderId="41" xfId="0" applyFont="1" applyFill="1" applyBorder="1" applyAlignment="1">
      <alignment vertical="top" wrapText="1" indent="1"/>
    </xf>
    <xf numFmtId="0" fontId="20" fillId="10" borderId="0" xfId="0" applyFont="1" applyFill="1" applyAlignment="1">
      <alignment vertical="top" wrapText="1"/>
    </xf>
    <xf numFmtId="0" fontId="20" fillId="10" borderId="42" xfId="0" applyFont="1" applyFill="1" applyBorder="1" applyAlignment="1">
      <alignment vertical="top" wrapText="1"/>
    </xf>
    <xf numFmtId="0" fontId="18" fillId="11" borderId="44" xfId="0" applyFont="1" applyFill="1" applyBorder="1" applyAlignment="1">
      <alignment vertical="top" wrapText="1"/>
    </xf>
    <xf numFmtId="0" fontId="18" fillId="11" borderId="0" xfId="0" applyFont="1" applyFill="1" applyAlignment="1">
      <alignment vertical="top" wrapText="1"/>
    </xf>
    <xf numFmtId="0" fontId="18" fillId="11" borderId="45" xfId="0" applyFont="1" applyFill="1" applyBorder="1" applyAlignment="1">
      <alignment vertical="top" wrapText="1"/>
    </xf>
    <xf numFmtId="0" fontId="20" fillId="0" borderId="0" xfId="0" applyFont="1" applyAlignment="1">
      <alignment vertical="center" wrapText="1" indent="1"/>
    </xf>
    <xf numFmtId="0" fontId="20" fillId="0" borderId="0" xfId="0" applyFont="1" applyAlignment="1">
      <alignment vertical="center"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6"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7" xfId="0" applyFont="1" applyFill="1" applyBorder="1" applyAlignment="1">
      <alignment horizontal="left" vertical="center" wrapText="1"/>
    </xf>
    <xf numFmtId="0" fontId="16" fillId="5" borderId="46"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7" xfId="0" applyFont="1" applyFill="1" applyBorder="1" applyAlignment="1">
      <alignment horizontal="left" vertical="top" wrapText="1"/>
    </xf>
    <xf numFmtId="0" fontId="37" fillId="8" borderId="3" xfId="0" applyFont="1" applyFill="1" applyBorder="1" applyAlignment="1">
      <alignment horizontal="left" vertical="center" wrapText="1"/>
    </xf>
    <xf numFmtId="0" fontId="37" fillId="8" borderId="0" xfId="0" applyFont="1" applyFill="1" applyAlignment="1">
      <alignment horizontal="left" vertical="center" wrapText="1"/>
    </xf>
    <xf numFmtId="0" fontId="55" fillId="8" borderId="0" xfId="0" applyFont="1" applyFill="1" applyAlignment="1">
      <alignment horizontal="left" vertical="center" wrapText="1"/>
    </xf>
    <xf numFmtId="0" fontId="18" fillId="10" borderId="41"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2"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41" fillId="0" borderId="0" xfId="1" applyFont="1" applyAlignment="1">
      <alignment horizontal="left" vertical="center" wrapText="1"/>
    </xf>
    <xf numFmtId="0" fontId="16" fillId="0" borderId="0" xfId="0" applyFont="1" applyAlignment="1">
      <alignment vertical="center" wrapText="1" indent="1"/>
    </xf>
    <xf numFmtId="0" fontId="16" fillId="0" borderId="0" xfId="0" applyFont="1" applyAlignment="1">
      <alignment vertical="center" wrapText="1"/>
    </xf>
    <xf numFmtId="0" fontId="45" fillId="14" borderId="57" xfId="0" applyFont="1" applyFill="1" applyBorder="1" applyAlignment="1">
      <alignment vertical="center"/>
    </xf>
    <xf numFmtId="0" fontId="27" fillId="14" borderId="0" xfId="0" applyFont="1" applyFill="1" applyAlignment="1">
      <alignment vertical="center"/>
    </xf>
    <xf numFmtId="0" fontId="27" fillId="14" borderId="58" xfId="0" applyFont="1" applyFill="1" applyBorder="1" applyAlignment="1">
      <alignment vertical="center"/>
    </xf>
    <xf numFmtId="0" fontId="17" fillId="0" borderId="0" xfId="0" applyFont="1" applyAlignment="1">
      <alignment vertical="center" wrapText="1" indent="1"/>
    </xf>
    <xf numFmtId="0" fontId="17" fillId="0" borderId="0" xfId="0" applyFont="1" applyAlignment="1">
      <alignment vertical="center" wrapText="1"/>
    </xf>
    <xf numFmtId="0" fontId="28" fillId="14" borderId="57" xfId="0" applyFont="1" applyFill="1" applyBorder="1" applyAlignment="1">
      <alignment vertical="center"/>
    </xf>
    <xf numFmtId="0" fontId="28" fillId="14" borderId="0" xfId="0" applyFont="1" applyFill="1" applyAlignment="1">
      <alignment vertical="center"/>
    </xf>
    <xf numFmtId="0" fontId="28" fillId="14" borderId="58" xfId="0" applyFont="1" applyFill="1" applyBorder="1" applyAlignment="1">
      <alignment vertical="center"/>
    </xf>
    <xf numFmtId="0" fontId="29" fillId="14" borderId="57" xfId="0" applyFont="1" applyFill="1" applyBorder="1" applyAlignment="1">
      <alignment vertical="center"/>
    </xf>
    <xf numFmtId="0" fontId="29" fillId="14" borderId="0" xfId="0" applyFont="1" applyFill="1" applyAlignment="1">
      <alignment vertical="center"/>
    </xf>
    <xf numFmtId="0" fontId="29" fillId="14" borderId="58" xfId="0" applyFont="1" applyFill="1" applyBorder="1" applyAlignment="1">
      <alignment vertical="center"/>
    </xf>
    <xf numFmtId="0" fontId="30" fillId="14" borderId="57" xfId="0" applyFont="1" applyFill="1" applyBorder="1" applyAlignment="1">
      <alignment vertical="center"/>
    </xf>
    <xf numFmtId="0" fontId="30" fillId="14" borderId="0" xfId="0" applyFont="1" applyFill="1" applyAlignment="1">
      <alignment vertical="center"/>
    </xf>
    <xf numFmtId="0" fontId="30" fillId="14" borderId="58" xfId="0" applyFont="1" applyFill="1" applyBorder="1" applyAlignment="1">
      <alignment vertical="center"/>
    </xf>
    <xf numFmtId="0" fontId="18" fillId="9" borderId="0" xfId="0" applyFont="1" applyFill="1" applyAlignment="1">
      <alignment vertical="center" wrapText="1"/>
    </xf>
    <xf numFmtId="0" fontId="14" fillId="8" borderId="29" xfId="0" applyFont="1" applyFill="1" applyBorder="1" applyAlignment="1">
      <alignment vertical="center" wrapText="1" indent="1"/>
    </xf>
    <xf numFmtId="0" fontId="14" fillId="8" borderId="29" xfId="0" applyFont="1" applyFill="1" applyBorder="1" applyAlignment="1">
      <alignment vertical="center" wrapText="1"/>
    </xf>
    <xf numFmtId="0" fontId="31" fillId="0" borderId="0" xfId="0" applyFont="1" applyAlignment="1">
      <alignment vertical="center" wrapText="1"/>
    </xf>
    <xf numFmtId="0" fontId="18" fillId="10" borderId="41" xfId="0" applyFont="1" applyFill="1" applyBorder="1" applyAlignment="1">
      <alignment vertical="center" wrapText="1" indent="1"/>
    </xf>
    <xf numFmtId="0" fontId="18" fillId="10" borderId="0" xfId="0" applyFont="1" applyFill="1" applyAlignment="1">
      <alignment vertical="center" wrapText="1"/>
    </xf>
    <xf numFmtId="0" fontId="18" fillId="10" borderId="42" xfId="0" applyFont="1" applyFill="1" applyBorder="1" applyAlignment="1">
      <alignment vertical="center" wrapText="1"/>
    </xf>
    <xf numFmtId="0" fontId="18" fillId="13" borderId="0" xfId="0" applyFont="1" applyFill="1" applyAlignment="1">
      <alignment vertical="center" wrapText="1"/>
    </xf>
    <xf numFmtId="0" fontId="31" fillId="10" borderId="59" xfId="0" applyFont="1" applyFill="1" applyBorder="1" applyAlignment="1">
      <alignment vertical="top" wrapText="1"/>
    </xf>
    <xf numFmtId="0" fontId="31" fillId="10" borderId="0" xfId="0" applyFont="1" applyFill="1" applyAlignment="1">
      <alignment vertical="top" wrapText="1"/>
    </xf>
    <xf numFmtId="0" fontId="18" fillId="0" borderId="0" xfId="0" applyFont="1" applyAlignment="1">
      <alignment vertical="center"/>
    </xf>
    <xf numFmtId="0" fontId="16" fillId="9" borderId="0" xfId="0" applyFont="1" applyFill="1" applyAlignment="1">
      <alignment vertical="center" wrapText="1"/>
    </xf>
    <xf numFmtId="0" fontId="16" fillId="13" borderId="0" xfId="0" applyFont="1" applyFill="1" applyAlignment="1">
      <alignment vertical="center" wrapText="1"/>
    </xf>
    <xf numFmtId="0" fontId="14" fillId="8" borderId="0" xfId="0" applyFont="1" applyFill="1" applyAlignment="1">
      <alignment vertical="center" indent="1"/>
    </xf>
    <xf numFmtId="0" fontId="14" fillId="8" borderId="0" xfId="0" applyFont="1" applyFill="1" applyAlignment="1">
      <alignment vertical="center"/>
    </xf>
    <xf numFmtId="0" fontId="46" fillId="3" borderId="0" xfId="0" applyFont="1" applyFill="1" applyAlignment="1">
      <alignment vertical="center" indent="1"/>
    </xf>
    <xf numFmtId="0" fontId="46" fillId="3" borderId="0" xfId="0" applyFont="1" applyFill="1" applyAlignment="1">
      <alignment vertical="center"/>
    </xf>
    <xf numFmtId="0" fontId="19" fillId="0" borderId="0" xfId="0" applyFont="1" applyAlignment="1">
      <alignment vertical="center"/>
    </xf>
    <xf numFmtId="0" fontId="18" fillId="0" borderId="0" xfId="0" applyFont="1" applyAlignment="1">
      <alignment vertical="top"/>
    </xf>
    <xf numFmtId="0" fontId="16" fillId="11" borderId="0" xfId="0" applyFont="1" applyFill="1" applyAlignment="1">
      <alignment vertical="center" wrapText="1"/>
    </xf>
    <xf numFmtId="0" fontId="6" fillId="3" borderId="0" xfId="0" applyFont="1" applyFill="1" applyAlignment="1">
      <alignment horizontal="center" vertical="center"/>
    </xf>
    <xf numFmtId="0" fontId="47" fillId="4" borderId="0" xfId="0" applyFont="1" applyFill="1" applyAlignment="1">
      <alignment vertical="center"/>
    </xf>
    <xf numFmtId="0" fontId="16" fillId="5" borderId="0" xfId="0" applyFont="1" applyFill="1" applyAlignment="1">
      <alignment vertical="center" wrapText="1"/>
    </xf>
    <xf numFmtId="0" fontId="7" fillId="4" borderId="0" xfId="0" applyFont="1" applyFill="1" applyAlignment="1">
      <alignment horizontal="center" vertical="center"/>
    </xf>
    <xf numFmtId="0" fontId="48" fillId="5" borderId="0" xfId="0" applyFont="1" applyFill="1" applyAlignment="1">
      <alignment vertical="center"/>
    </xf>
    <xf numFmtId="0" fontId="44" fillId="8" borderId="0" xfId="0" applyFont="1" applyFill="1" applyAlignment="1">
      <alignment vertical="center" wrapText="1" indent="1"/>
    </xf>
    <xf numFmtId="0" fontId="43" fillId="8" borderId="0" xfId="0" applyFont="1" applyFill="1" applyAlignment="1">
      <alignment vertical="center" wrapText="1"/>
    </xf>
    <xf numFmtId="0" fontId="8" fillId="5" borderId="0" xfId="0" applyFont="1" applyFill="1" applyAlignment="1">
      <alignment horizontal="center" vertical="center"/>
    </xf>
    <xf numFmtId="0" fontId="53" fillId="8" borderId="0" xfId="0" applyFont="1" applyFill="1" applyAlignment="1">
      <alignment vertical="center" wrapText="1" indent="1"/>
    </xf>
    <xf numFmtId="0" fontId="58" fillId="8" borderId="0" xfId="0" applyFont="1" applyFill="1" applyAlignment="1">
      <alignment horizontal="left" vertical="top" wrapText="1"/>
    </xf>
    <xf numFmtId="0" fontId="59" fillId="8" borderId="0" xfId="0" applyFont="1" applyFill="1" applyAlignment="1">
      <alignment horizontal="left" vertical="top" wrapText="1"/>
    </xf>
  </cellXfs>
  <cellStyles count="3">
    <cellStyle name="Hyperlink" xfId="1" builtinId="8"/>
    <cellStyle name="Normal" xfId="0" builtinId="0"/>
    <cellStyle name="Normal 2" xfId="2" xr:uid="{308AD68B-7CF1-4543-82CC-05C152874E6D}"/>
  </cellStyles>
  <dxfs count="0"/>
  <tableStyles count="0" defaultTableStyle="TableStyleMedium2" defaultPivotStyle="PivotStyleLight16"/>
  <colors>
    <mruColors>
      <color rgb="FFC6EFCE"/>
      <color rgb="FFFFC7CE"/>
      <color rgb="FFFFEB9C"/>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10</c:v>
                </c:pt>
                <c:pt idx="2">
                  <c:v>6</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4</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4</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Office.AutoShowTaskpaneWithDocument" value="true"/>
    <we:property name="claude.fileId" value="&quot;35da465a-ae9a-4cf8-b742-b8c99c9342b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0"/>
  <sheetViews>
    <sheetView tabSelected="1" workbookViewId="0">
      <pane ySplit="1" topLeftCell="A2" activePane="bottomLeft" state="frozen"/>
      <selection pane="bottomLeft" activeCell="H1" sqref="H1"/>
    </sheetView>
  </sheetViews>
  <sheetFormatPr baseColWidth="10" defaultRowHeight="16" x14ac:dyDescent="0.2"/>
  <cols>
    <col min="1" max="1" width="32.33203125" customWidth="1"/>
    <col min="2" max="5" width="20" customWidth="1"/>
  </cols>
  <sheetData>
    <row r="1" spans="1:5" ht="45" customHeight="1" x14ac:dyDescent="0.2">
      <c r="A1" s="188" t="s">
        <v>87</v>
      </c>
      <c r="B1" s="189"/>
      <c r="C1" s="189"/>
      <c r="D1" s="189"/>
      <c r="E1" s="189"/>
    </row>
    <row r="2" spans="1:5" ht="10" customHeight="1" thickBot="1" x14ac:dyDescent="0.25">
      <c r="A2" s="112"/>
      <c r="B2" s="112"/>
      <c r="C2" s="112"/>
      <c r="D2" s="112"/>
      <c r="E2" s="112"/>
    </row>
    <row r="3" spans="1:5" ht="30" customHeight="1" thickBot="1" x14ac:dyDescent="0.25">
      <c r="A3" s="113" t="s">
        <v>88</v>
      </c>
      <c r="B3" s="114" t="s">
        <v>89</v>
      </c>
      <c r="C3" s="115" t="s">
        <v>90</v>
      </c>
      <c r="D3" s="115"/>
      <c r="E3" s="115"/>
    </row>
    <row r="4" spans="1:5" ht="24" customHeight="1" x14ac:dyDescent="0.2">
      <c r="A4" s="116" t="s">
        <v>338</v>
      </c>
      <c r="B4" s="117">
        <v>3</v>
      </c>
      <c r="C4" s="141">
        <f>B4/B7</f>
        <v>0.15789473684210525</v>
      </c>
    </row>
    <row r="5" spans="1:5" ht="24" customHeight="1" x14ac:dyDescent="0.2">
      <c r="A5" s="118" t="s">
        <v>372</v>
      </c>
      <c r="B5" s="119">
        <v>10</v>
      </c>
      <c r="C5" s="142">
        <f>B5/B7</f>
        <v>0.52631578947368418</v>
      </c>
    </row>
    <row r="6" spans="1:5" ht="24" customHeight="1" thickBot="1" x14ac:dyDescent="0.25">
      <c r="A6" s="120" t="s">
        <v>349</v>
      </c>
      <c r="B6" s="119">
        <v>6</v>
      </c>
      <c r="C6" s="142">
        <f>B6/B7</f>
        <v>0.31578947368421051</v>
      </c>
    </row>
    <row r="7" spans="1:5" ht="24" customHeight="1" thickBot="1" x14ac:dyDescent="0.25">
      <c r="A7" s="121" t="s">
        <v>91</v>
      </c>
      <c r="B7" s="122">
        <f>SUM(B4:B6)</f>
        <v>19</v>
      </c>
      <c r="C7" s="143">
        <f>SUM(C4:C6)</f>
        <v>0.99999999999999989</v>
      </c>
    </row>
    <row r="8" spans="1:5" ht="14" customHeight="1" x14ac:dyDescent="0.2">
      <c r="A8" s="112"/>
      <c r="B8" s="112"/>
      <c r="C8" s="112"/>
      <c r="D8" s="112"/>
      <c r="E8" s="112"/>
    </row>
    <row r="9" spans="1:5" ht="30" customHeight="1" thickBot="1" x14ac:dyDescent="0.25">
      <c r="A9" s="123" t="s">
        <v>92</v>
      </c>
      <c r="B9" s="87" t="s">
        <v>8</v>
      </c>
      <c r="C9" s="88" t="s">
        <v>221</v>
      </c>
      <c r="D9" s="89" t="s">
        <v>34</v>
      </c>
      <c r="E9" s="124" t="s">
        <v>93</v>
      </c>
    </row>
    <row r="10" spans="1:5" ht="24" customHeight="1" x14ac:dyDescent="0.2">
      <c r="A10" s="125" t="s">
        <v>413</v>
      </c>
      <c r="B10" s="126">
        <v>2</v>
      </c>
      <c r="C10" s="126">
        <v>3</v>
      </c>
      <c r="D10" s="126">
        <v>0</v>
      </c>
      <c r="E10" s="127">
        <f>SUM(B10:D10)</f>
        <v>5</v>
      </c>
    </row>
    <row r="11" spans="1:5" ht="24" customHeight="1" x14ac:dyDescent="0.2">
      <c r="A11" s="128" t="s">
        <v>412</v>
      </c>
      <c r="B11" s="119">
        <v>0</v>
      </c>
      <c r="C11" s="119">
        <v>4</v>
      </c>
      <c r="D11" s="119">
        <v>4</v>
      </c>
      <c r="E11" s="129">
        <f t="shared" ref="E11:E16" si="0">SUM(B11:D11)</f>
        <v>8</v>
      </c>
    </row>
    <row r="12" spans="1:5" ht="24" customHeight="1" x14ac:dyDescent="0.2">
      <c r="A12" s="130" t="s">
        <v>410</v>
      </c>
      <c r="B12" s="131">
        <v>0</v>
      </c>
      <c r="C12" s="131">
        <v>1</v>
      </c>
      <c r="D12" s="131">
        <v>0</v>
      </c>
      <c r="E12" s="132">
        <f t="shared" si="0"/>
        <v>1</v>
      </c>
    </row>
    <row r="13" spans="1:5" ht="24" customHeight="1" x14ac:dyDescent="0.2">
      <c r="A13" s="133" t="s">
        <v>411</v>
      </c>
      <c r="B13" s="119">
        <v>1</v>
      </c>
      <c r="C13" s="119">
        <v>0</v>
      </c>
      <c r="D13" s="119">
        <v>0</v>
      </c>
      <c r="E13" s="129">
        <v>1</v>
      </c>
    </row>
    <row r="14" spans="1:5" ht="24" customHeight="1" x14ac:dyDescent="0.2">
      <c r="A14" s="130" t="s">
        <v>414</v>
      </c>
      <c r="B14" s="131">
        <v>0</v>
      </c>
      <c r="C14" s="131">
        <v>1</v>
      </c>
      <c r="D14" s="131">
        <v>0</v>
      </c>
      <c r="E14" s="132">
        <v>1</v>
      </c>
    </row>
    <row r="15" spans="1:5" ht="24" customHeight="1" x14ac:dyDescent="0.2">
      <c r="A15" s="133" t="s">
        <v>440</v>
      </c>
      <c r="B15" s="119">
        <v>0</v>
      </c>
      <c r="C15" s="119">
        <v>1</v>
      </c>
      <c r="D15" s="119">
        <v>0</v>
      </c>
      <c r="E15" s="129">
        <v>1</v>
      </c>
    </row>
    <row r="16" spans="1:5" ht="24" customHeight="1" thickBot="1" x14ac:dyDescent="0.25">
      <c r="A16" s="130" t="s">
        <v>76</v>
      </c>
      <c r="B16" s="131">
        <v>0</v>
      </c>
      <c r="C16" s="131">
        <v>0</v>
      </c>
      <c r="D16" s="131">
        <v>2</v>
      </c>
      <c r="E16" s="132">
        <f t="shared" si="0"/>
        <v>2</v>
      </c>
    </row>
    <row r="17" spans="1:5" ht="24" customHeight="1" thickBot="1" x14ac:dyDescent="0.25">
      <c r="A17" s="134" t="s">
        <v>91</v>
      </c>
      <c r="B17" s="135">
        <f>SUM(B10:B16)</f>
        <v>3</v>
      </c>
      <c r="C17" s="135">
        <f>SUM(C10:C16)</f>
        <v>10</v>
      </c>
      <c r="D17" s="135">
        <f>SUM(D10:D16)</f>
        <v>6</v>
      </c>
      <c r="E17" s="136">
        <f>SUM(E10:E16)</f>
        <v>19</v>
      </c>
    </row>
    <row r="18" spans="1:5" ht="14" customHeight="1" x14ac:dyDescent="0.2">
      <c r="A18" s="112"/>
      <c r="B18" s="112"/>
      <c r="C18" s="112"/>
      <c r="D18" s="112"/>
      <c r="E18" s="112"/>
    </row>
    <row r="19" spans="1:5" ht="30" customHeight="1" thickBot="1" x14ac:dyDescent="0.25">
      <c r="A19" s="123" t="s">
        <v>94</v>
      </c>
      <c r="B19" s="124" t="s">
        <v>89</v>
      </c>
      <c r="C19" s="124" t="s">
        <v>95</v>
      </c>
      <c r="D19" s="124" t="s">
        <v>96</v>
      </c>
      <c r="E19" s="124" t="s">
        <v>97</v>
      </c>
    </row>
    <row r="20" spans="1:5" ht="24" customHeight="1" x14ac:dyDescent="0.2">
      <c r="A20" s="125" t="s">
        <v>413</v>
      </c>
      <c r="B20" s="117">
        <v>5</v>
      </c>
      <c r="C20" s="137">
        <v>3.8</v>
      </c>
      <c r="D20" s="117">
        <v>3</v>
      </c>
      <c r="E20" s="138">
        <v>5</v>
      </c>
    </row>
    <row r="21" spans="1:5" ht="24" customHeight="1" x14ac:dyDescent="0.2">
      <c r="A21" s="128" t="s">
        <v>412</v>
      </c>
      <c r="B21" s="119">
        <v>8</v>
      </c>
      <c r="C21" s="139">
        <v>4</v>
      </c>
      <c r="D21" s="119">
        <v>3</v>
      </c>
      <c r="E21" s="140">
        <v>5</v>
      </c>
    </row>
    <row r="22" spans="1:5" ht="24" customHeight="1" x14ac:dyDescent="0.2">
      <c r="A22" s="130" t="s">
        <v>410</v>
      </c>
      <c r="B22" s="119">
        <v>1</v>
      </c>
      <c r="C22" s="139">
        <v>4</v>
      </c>
      <c r="D22" s="119">
        <v>4</v>
      </c>
      <c r="E22" s="140">
        <v>4</v>
      </c>
    </row>
    <row r="23" spans="1:5" ht="24" customHeight="1" x14ac:dyDescent="0.2">
      <c r="A23" s="133" t="s">
        <v>411</v>
      </c>
      <c r="B23" s="119">
        <v>1</v>
      </c>
      <c r="C23" s="139">
        <v>5</v>
      </c>
      <c r="D23" s="119">
        <v>5</v>
      </c>
      <c r="E23" s="140">
        <v>5</v>
      </c>
    </row>
    <row r="24" spans="1:5" ht="24" customHeight="1" x14ac:dyDescent="0.2">
      <c r="A24" s="130" t="s">
        <v>414</v>
      </c>
      <c r="B24" s="119">
        <v>1</v>
      </c>
      <c r="C24" s="139">
        <v>3</v>
      </c>
      <c r="D24" s="119">
        <v>3</v>
      </c>
      <c r="E24" s="140">
        <v>3</v>
      </c>
    </row>
    <row r="25" spans="1:5" ht="24" customHeight="1" x14ac:dyDescent="0.2">
      <c r="A25" s="133" t="s">
        <v>440</v>
      </c>
      <c r="B25" s="119">
        <v>1</v>
      </c>
      <c r="C25" s="139">
        <v>3</v>
      </c>
      <c r="D25" s="119">
        <v>3</v>
      </c>
      <c r="E25" s="140">
        <v>3</v>
      </c>
    </row>
    <row r="26" spans="1:5" ht="24" customHeight="1" thickBot="1" x14ac:dyDescent="0.25">
      <c r="A26" s="130" t="s">
        <v>436</v>
      </c>
      <c r="B26" s="119">
        <v>2</v>
      </c>
      <c r="C26" s="139">
        <v>5</v>
      </c>
      <c r="D26" s="119">
        <v>5</v>
      </c>
      <c r="E26" s="140">
        <v>5</v>
      </c>
    </row>
    <row r="27" spans="1:5" ht="24" customHeight="1" thickBot="1" x14ac:dyDescent="0.25">
      <c r="A27" s="134" t="s">
        <v>98</v>
      </c>
      <c r="B27" s="135">
        <f>SUM(B20:B26)</f>
        <v>19</v>
      </c>
      <c r="C27" s="135">
        <f>SUMPRODUCT(B20:B26,C20:C26)/SUM(B20:B26)</f>
        <v>4</v>
      </c>
      <c r="D27" s="135">
        <v>3</v>
      </c>
      <c r="E27" s="136">
        <v>5</v>
      </c>
    </row>
    <row r="30" spans="1:5" x14ac:dyDescent="0.2">
      <c r="A30" s="190" t="s">
        <v>441</v>
      </c>
      <c r="B30" s="191"/>
      <c r="C30" s="191"/>
      <c r="D30" s="191"/>
      <c r="E30" s="191"/>
    </row>
  </sheetData>
  <mergeCells count="2">
    <mergeCell ref="A1:E1"/>
    <mergeCell ref="A30:E30"/>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3"/>
  <sheetViews>
    <sheetView workbookViewId="0">
      <pane ySplit="1" topLeftCell="A50" activePane="bottomLeft" state="frozen"/>
      <selection pane="bottomLeft" activeCell="A69" sqref="A69:D69"/>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5"/>
  </cols>
  <sheetData>
    <row r="1" spans="1:4" ht="45" customHeight="1" x14ac:dyDescent="0.2">
      <c r="A1" s="194" t="s">
        <v>210</v>
      </c>
      <c r="B1" s="195"/>
      <c r="C1" s="195"/>
      <c r="D1" s="195"/>
    </row>
    <row r="2" spans="1:4" ht="8" customHeight="1" x14ac:dyDescent="0.2">
      <c r="A2" s="67"/>
      <c r="B2" s="67"/>
      <c r="C2" s="67"/>
      <c r="D2" s="67"/>
    </row>
    <row r="3" spans="1:4" ht="32" customHeight="1" x14ac:dyDescent="0.2">
      <c r="A3" s="192" t="s">
        <v>100</v>
      </c>
      <c r="B3" s="193"/>
      <c r="C3" s="193"/>
      <c r="D3" s="193"/>
    </row>
    <row r="4" spans="1:4" ht="8" customHeight="1" x14ac:dyDescent="0.2">
      <c r="A4" s="67"/>
      <c r="B4" s="67"/>
      <c r="C4" s="67"/>
      <c r="D4" s="67"/>
    </row>
    <row r="5" spans="1:4" ht="19" customHeight="1" x14ac:dyDescent="0.2">
      <c r="A5" s="196" t="s">
        <v>101</v>
      </c>
      <c r="B5" s="197"/>
      <c r="C5" s="197"/>
      <c r="D5" s="197"/>
    </row>
    <row r="6" spans="1:4" ht="8" customHeight="1" x14ac:dyDescent="0.2">
      <c r="A6" s="67"/>
      <c r="B6" s="67"/>
      <c r="C6" s="67"/>
      <c r="D6" s="67"/>
    </row>
    <row r="7" spans="1:4" ht="20" customHeight="1" x14ac:dyDescent="0.2">
      <c r="A7" s="198" t="s">
        <v>102</v>
      </c>
      <c r="B7" s="199"/>
      <c r="C7" s="199"/>
      <c r="D7" s="199"/>
    </row>
    <row r="8" spans="1:4" ht="8" customHeight="1" x14ac:dyDescent="0.2">
      <c r="A8" s="67"/>
      <c r="B8" s="67"/>
      <c r="C8" s="67"/>
      <c r="D8" s="67"/>
    </row>
    <row r="9" spans="1:4" ht="20" customHeight="1" x14ac:dyDescent="0.2">
      <c r="A9" s="200" t="s">
        <v>103</v>
      </c>
      <c r="B9" s="201"/>
      <c r="C9" s="201"/>
      <c r="D9" s="201"/>
    </row>
    <row r="10" spans="1:4" ht="8" customHeight="1" x14ac:dyDescent="0.2">
      <c r="A10" s="67"/>
      <c r="B10" s="67"/>
      <c r="C10" s="67"/>
      <c r="D10" s="67"/>
    </row>
    <row r="11" spans="1:4" ht="32" customHeight="1" x14ac:dyDescent="0.2">
      <c r="A11" s="192" t="s">
        <v>104</v>
      </c>
      <c r="B11" s="193"/>
      <c r="C11" s="193"/>
      <c r="D11" s="193"/>
    </row>
    <row r="12" spans="1:4" ht="8" customHeight="1" x14ac:dyDescent="0.2">
      <c r="A12" s="67"/>
      <c r="B12" s="67"/>
      <c r="C12" s="67"/>
      <c r="D12" s="67"/>
    </row>
    <row r="13" spans="1:4" ht="28" customHeight="1" thickBot="1" x14ac:dyDescent="0.25">
      <c r="A13" s="81" t="s">
        <v>362</v>
      </c>
      <c r="B13" s="66" t="s">
        <v>105</v>
      </c>
      <c r="C13" s="75" t="s">
        <v>106</v>
      </c>
    </row>
    <row r="14" spans="1:4" ht="48" customHeight="1" x14ac:dyDescent="0.2">
      <c r="A14" s="62">
        <v>1</v>
      </c>
      <c r="B14" s="58" t="s">
        <v>107</v>
      </c>
      <c r="C14" s="76" t="s">
        <v>108</v>
      </c>
    </row>
    <row r="15" spans="1:4" ht="48" customHeight="1" x14ac:dyDescent="0.2">
      <c r="A15" s="63">
        <v>2</v>
      </c>
      <c r="B15" s="59" t="s">
        <v>109</v>
      </c>
      <c r="C15" s="77" t="s">
        <v>110</v>
      </c>
    </row>
    <row r="16" spans="1:4" ht="48" customHeight="1" x14ac:dyDescent="0.2">
      <c r="A16" s="64">
        <v>3</v>
      </c>
      <c r="B16" s="61" t="s">
        <v>111</v>
      </c>
      <c r="C16" s="78" t="s">
        <v>112</v>
      </c>
    </row>
    <row r="17" spans="1:4" ht="48" customHeight="1" x14ac:dyDescent="0.2">
      <c r="A17" s="63">
        <v>4</v>
      </c>
      <c r="B17" s="59" t="s">
        <v>113</v>
      </c>
      <c r="C17" s="77" t="s">
        <v>114</v>
      </c>
    </row>
    <row r="18" spans="1:4" ht="48" customHeight="1" x14ac:dyDescent="0.2">
      <c r="A18" s="64">
        <v>5</v>
      </c>
      <c r="B18" s="61" t="s">
        <v>115</v>
      </c>
      <c r="C18" s="78" t="s">
        <v>116</v>
      </c>
    </row>
    <row r="19" spans="1:4" ht="48" customHeight="1" x14ac:dyDescent="0.2">
      <c r="A19" s="63">
        <v>6</v>
      </c>
      <c r="B19" s="59" t="s">
        <v>117</v>
      </c>
      <c r="C19" s="77" t="s">
        <v>118</v>
      </c>
    </row>
    <row r="20" spans="1:4" ht="48" customHeight="1" x14ac:dyDescent="0.2">
      <c r="A20" s="65">
        <v>7</v>
      </c>
      <c r="B20" s="60" t="s">
        <v>119</v>
      </c>
      <c r="C20" s="79" t="s">
        <v>120</v>
      </c>
    </row>
    <row r="21" spans="1:4" ht="8" customHeight="1" x14ac:dyDescent="0.2">
      <c r="A21" s="67"/>
      <c r="B21" s="67"/>
      <c r="C21" s="67"/>
      <c r="D21" s="67"/>
    </row>
    <row r="22" spans="1:4" ht="32" customHeight="1" x14ac:dyDescent="0.2">
      <c r="A22" s="192" t="s">
        <v>121</v>
      </c>
      <c r="B22" s="193"/>
      <c r="C22" s="193"/>
      <c r="D22" s="193"/>
    </row>
    <row r="23" spans="1:4" ht="8" customHeight="1" x14ac:dyDescent="0.2">
      <c r="A23" s="67"/>
      <c r="B23" s="67"/>
      <c r="C23" s="67"/>
      <c r="D23" s="67"/>
    </row>
    <row r="24" spans="1:4" ht="26" customHeight="1" x14ac:dyDescent="0.2">
      <c r="A24" s="202" t="s">
        <v>122</v>
      </c>
      <c r="B24" s="203"/>
      <c r="C24" s="203"/>
      <c r="D24" s="203"/>
    </row>
    <row r="25" spans="1:4" ht="8" customHeight="1" x14ac:dyDescent="0.2">
      <c r="A25" s="67"/>
      <c r="B25" s="67"/>
      <c r="C25" s="67"/>
      <c r="D25" s="67"/>
    </row>
    <row r="26" spans="1:4" ht="28" customHeight="1" thickBot="1" x14ac:dyDescent="0.25">
      <c r="A26" s="81" t="s">
        <v>123</v>
      </c>
      <c r="B26" s="66" t="s">
        <v>124</v>
      </c>
      <c r="C26" s="75" t="s">
        <v>125</v>
      </c>
    </row>
    <row r="27" spans="1:4" ht="42" customHeight="1" x14ac:dyDescent="0.2">
      <c r="A27" s="82" t="s">
        <v>126</v>
      </c>
      <c r="B27" s="58" t="s">
        <v>127</v>
      </c>
      <c r="C27" s="76" t="s">
        <v>128</v>
      </c>
    </row>
    <row r="28" spans="1:4" ht="42" customHeight="1" x14ac:dyDescent="0.2">
      <c r="A28" s="83" t="s">
        <v>129</v>
      </c>
      <c r="B28" s="59" t="s">
        <v>130</v>
      </c>
      <c r="C28" s="77" t="s">
        <v>131</v>
      </c>
    </row>
    <row r="29" spans="1:4" ht="42" customHeight="1" x14ac:dyDescent="0.2">
      <c r="A29" s="84" t="s">
        <v>132</v>
      </c>
      <c r="B29" s="60" t="s">
        <v>133</v>
      </c>
      <c r="C29" s="79" t="s">
        <v>134</v>
      </c>
    </row>
    <row r="30" spans="1:4" ht="8" customHeight="1" x14ac:dyDescent="0.2">
      <c r="A30" s="67"/>
      <c r="B30" s="67"/>
      <c r="C30" s="67"/>
      <c r="D30" s="67"/>
    </row>
    <row r="31" spans="1:4" ht="26" customHeight="1" x14ac:dyDescent="0.2">
      <c r="A31" s="202" t="s">
        <v>135</v>
      </c>
      <c r="B31" s="203"/>
      <c r="C31" s="203"/>
      <c r="D31" s="203"/>
    </row>
    <row r="32" spans="1:4" ht="8" customHeight="1" x14ac:dyDescent="0.2">
      <c r="A32" s="67"/>
      <c r="B32" s="67"/>
      <c r="C32" s="67"/>
      <c r="D32" s="67"/>
    </row>
    <row r="33" spans="1:4" ht="28" customHeight="1" thickBot="1" x14ac:dyDescent="0.25">
      <c r="A33" s="81" t="s">
        <v>136</v>
      </c>
      <c r="B33" s="66" t="s">
        <v>124</v>
      </c>
      <c r="C33" s="75" t="s">
        <v>125</v>
      </c>
    </row>
    <row r="34" spans="1:4" ht="42" customHeight="1" x14ac:dyDescent="0.2">
      <c r="A34" s="82" t="s">
        <v>137</v>
      </c>
      <c r="B34" s="58" t="s">
        <v>138</v>
      </c>
      <c r="C34" s="76" t="s">
        <v>139</v>
      </c>
    </row>
    <row r="35" spans="1:4" ht="42" customHeight="1" x14ac:dyDescent="0.2">
      <c r="A35" s="83" t="s">
        <v>140</v>
      </c>
      <c r="B35" s="59" t="s">
        <v>141</v>
      </c>
      <c r="C35" s="77" t="s">
        <v>142</v>
      </c>
    </row>
    <row r="36" spans="1:4" ht="42" customHeight="1" x14ac:dyDescent="0.2">
      <c r="A36" s="84" t="s">
        <v>143</v>
      </c>
      <c r="B36" s="60" t="s">
        <v>144</v>
      </c>
      <c r="C36" s="79" t="s">
        <v>145</v>
      </c>
    </row>
    <row r="37" spans="1:4" ht="8" customHeight="1" x14ac:dyDescent="0.2">
      <c r="A37" s="67"/>
      <c r="B37" s="67"/>
      <c r="C37" s="67"/>
      <c r="D37" s="67"/>
    </row>
    <row r="38" spans="1:4" ht="26" customHeight="1" x14ac:dyDescent="0.2">
      <c r="A38" s="202" t="s">
        <v>146</v>
      </c>
      <c r="B38" s="203"/>
      <c r="C38" s="203"/>
      <c r="D38" s="203"/>
    </row>
    <row r="39" spans="1:4" ht="8" customHeight="1" x14ac:dyDescent="0.2">
      <c r="A39" s="67"/>
      <c r="B39" s="67"/>
      <c r="C39" s="67"/>
      <c r="D39" s="67"/>
    </row>
    <row r="40" spans="1:4" ht="28" customHeight="1" thickBot="1" x14ac:dyDescent="0.25">
      <c r="A40" s="81" t="s">
        <v>136</v>
      </c>
      <c r="B40" s="66" t="s">
        <v>124</v>
      </c>
      <c r="C40" s="75" t="s">
        <v>125</v>
      </c>
    </row>
    <row r="41" spans="1:4" ht="42" customHeight="1" x14ac:dyDescent="0.2">
      <c r="A41" s="82" t="s">
        <v>147</v>
      </c>
      <c r="B41" s="58" t="s">
        <v>148</v>
      </c>
      <c r="C41" s="76" t="s">
        <v>149</v>
      </c>
    </row>
    <row r="42" spans="1:4" ht="42" customHeight="1" x14ac:dyDescent="0.2">
      <c r="A42" s="83" t="s">
        <v>150</v>
      </c>
      <c r="B42" s="59" t="s">
        <v>151</v>
      </c>
      <c r="C42" s="77" t="s">
        <v>152</v>
      </c>
    </row>
    <row r="43" spans="1:4" ht="42" customHeight="1" x14ac:dyDescent="0.2">
      <c r="A43" s="84" t="s">
        <v>153</v>
      </c>
      <c r="B43" s="60" t="s">
        <v>154</v>
      </c>
      <c r="C43" s="79" t="s">
        <v>155</v>
      </c>
    </row>
    <row r="44" spans="1:4" ht="8" customHeight="1" x14ac:dyDescent="0.2">
      <c r="A44" s="67"/>
      <c r="B44" s="67"/>
      <c r="C44" s="67"/>
      <c r="D44" s="67"/>
    </row>
    <row r="45" spans="1:4" ht="26" customHeight="1" x14ac:dyDescent="0.2">
      <c r="A45" s="202" t="s">
        <v>156</v>
      </c>
      <c r="B45" s="203"/>
      <c r="C45" s="203"/>
      <c r="D45" s="203"/>
    </row>
    <row r="46" spans="1:4" ht="8" customHeight="1" x14ac:dyDescent="0.2">
      <c r="A46" s="67"/>
      <c r="B46" s="67"/>
      <c r="C46" s="67"/>
      <c r="D46" s="67"/>
    </row>
    <row r="47" spans="1:4" ht="28" customHeight="1" thickBot="1" x14ac:dyDescent="0.25">
      <c r="A47" s="81" t="s">
        <v>157</v>
      </c>
      <c r="B47" s="66" t="s">
        <v>124</v>
      </c>
      <c r="C47" s="75" t="s">
        <v>158</v>
      </c>
    </row>
    <row r="48" spans="1:4" ht="42" customHeight="1" x14ac:dyDescent="0.2">
      <c r="A48" s="82" t="s">
        <v>159</v>
      </c>
      <c r="B48" s="58" t="s">
        <v>160</v>
      </c>
      <c r="C48" s="76" t="s">
        <v>161</v>
      </c>
    </row>
    <row r="49" spans="1:4" ht="42" customHeight="1" x14ac:dyDescent="0.2">
      <c r="A49" s="83" t="s">
        <v>162</v>
      </c>
      <c r="B49" s="59" t="s">
        <v>163</v>
      </c>
      <c r="C49" s="77" t="s">
        <v>164</v>
      </c>
    </row>
    <row r="50" spans="1:4" ht="42" customHeight="1" x14ac:dyDescent="0.2">
      <c r="A50" s="84" t="s">
        <v>165</v>
      </c>
      <c r="B50" s="60" t="s">
        <v>166</v>
      </c>
      <c r="C50" s="79" t="s">
        <v>167</v>
      </c>
    </row>
    <row r="51" spans="1:4" ht="8" customHeight="1" x14ac:dyDescent="0.2">
      <c r="A51" s="67"/>
      <c r="B51" s="67"/>
      <c r="C51" s="67"/>
      <c r="D51" s="67"/>
    </row>
    <row r="52" spans="1:4" ht="8" customHeight="1" x14ac:dyDescent="0.2">
      <c r="A52" s="67"/>
      <c r="B52" s="67"/>
      <c r="C52" s="67"/>
      <c r="D52" s="67"/>
    </row>
    <row r="53" spans="1:4" ht="32" customHeight="1" x14ac:dyDescent="0.2">
      <c r="A53" s="192" t="s">
        <v>168</v>
      </c>
      <c r="B53" s="193"/>
      <c r="C53" s="193"/>
      <c r="D53" s="193"/>
    </row>
    <row r="54" spans="1:4" ht="8" customHeight="1" thickBot="1" x14ac:dyDescent="0.25">
      <c r="A54" s="70"/>
      <c r="B54" s="70"/>
      <c r="C54" s="70"/>
      <c r="D54" s="70"/>
    </row>
    <row r="55" spans="1:4" ht="26" customHeight="1" x14ac:dyDescent="0.2">
      <c r="A55" s="205" t="s">
        <v>169</v>
      </c>
      <c r="B55" s="206"/>
      <c r="C55" s="206"/>
      <c r="D55" s="207"/>
    </row>
    <row r="56" spans="1:4" ht="80" customHeight="1" x14ac:dyDescent="0.2">
      <c r="A56" s="208" t="s">
        <v>170</v>
      </c>
      <c r="B56" s="209"/>
      <c r="C56" s="209"/>
      <c r="D56" s="210"/>
    </row>
    <row r="57" spans="1:4" ht="8" customHeight="1" x14ac:dyDescent="0.2">
      <c r="A57" s="67"/>
      <c r="B57" s="67"/>
      <c r="C57" s="67"/>
      <c r="D57" s="67"/>
    </row>
    <row r="58" spans="1:4" ht="26" customHeight="1" x14ac:dyDescent="0.2">
      <c r="A58" s="202" t="s">
        <v>171</v>
      </c>
      <c r="B58" s="203"/>
      <c r="C58" s="203"/>
      <c r="D58" s="203"/>
    </row>
    <row r="59" spans="1:4" ht="8" customHeight="1" x14ac:dyDescent="0.2">
      <c r="A59" s="67"/>
      <c r="B59" s="71"/>
      <c r="C59" s="71"/>
      <c r="D59" s="67"/>
    </row>
    <row r="60" spans="1:4" ht="28" customHeight="1" thickBot="1" x14ac:dyDescent="0.25">
      <c r="A60" s="85" t="s">
        <v>172</v>
      </c>
      <c r="B60" s="66" t="s">
        <v>173</v>
      </c>
      <c r="C60" s="66" t="s">
        <v>174</v>
      </c>
      <c r="D60" s="80" t="s">
        <v>175</v>
      </c>
    </row>
    <row r="61" spans="1:4" ht="65" customHeight="1" x14ac:dyDescent="0.2">
      <c r="A61" s="82" t="s">
        <v>176</v>
      </c>
      <c r="B61" s="58" t="s">
        <v>177</v>
      </c>
      <c r="C61" s="58" t="s">
        <v>178</v>
      </c>
      <c r="D61" s="76" t="s">
        <v>179</v>
      </c>
    </row>
    <row r="62" spans="1:4" ht="65" customHeight="1" x14ac:dyDescent="0.2">
      <c r="A62" s="83" t="s">
        <v>180</v>
      </c>
      <c r="B62" s="59" t="s">
        <v>181</v>
      </c>
      <c r="C62" s="59" t="s">
        <v>182</v>
      </c>
      <c r="D62" s="77" t="s">
        <v>183</v>
      </c>
    </row>
    <row r="63" spans="1:4" ht="65" customHeight="1" x14ac:dyDescent="0.2">
      <c r="A63" s="86" t="s">
        <v>184</v>
      </c>
      <c r="B63" s="61" t="s">
        <v>185</v>
      </c>
      <c r="C63" s="61" t="s">
        <v>186</v>
      </c>
      <c r="D63" s="78" t="s">
        <v>187</v>
      </c>
    </row>
    <row r="64" spans="1:4" ht="65" customHeight="1" x14ac:dyDescent="0.2">
      <c r="A64" s="83" t="s">
        <v>188</v>
      </c>
      <c r="B64" s="59" t="s">
        <v>189</v>
      </c>
      <c r="C64" s="59" t="s">
        <v>190</v>
      </c>
      <c r="D64" s="77" t="s">
        <v>191</v>
      </c>
    </row>
    <row r="65" spans="1:4" ht="65" customHeight="1" x14ac:dyDescent="0.2">
      <c r="A65" s="86" t="s">
        <v>192</v>
      </c>
      <c r="B65" s="61" t="s">
        <v>193</v>
      </c>
      <c r="C65" s="61" t="s">
        <v>194</v>
      </c>
      <c r="D65" s="78" t="s">
        <v>195</v>
      </c>
    </row>
    <row r="66" spans="1:4" ht="8" customHeight="1" x14ac:dyDescent="0.2">
      <c r="A66" s="67"/>
      <c r="B66" s="67"/>
      <c r="C66" s="67"/>
      <c r="D66" s="67"/>
    </row>
    <row r="67" spans="1:4" ht="26" customHeight="1" x14ac:dyDescent="0.2">
      <c r="A67" s="203" t="s">
        <v>196</v>
      </c>
      <c r="B67" s="203"/>
      <c r="C67" s="203"/>
      <c r="D67" s="203"/>
    </row>
    <row r="68" spans="1:4" ht="8" customHeight="1" x14ac:dyDescent="0.2">
      <c r="A68" s="72"/>
      <c r="B68" s="72"/>
      <c r="C68" s="72"/>
      <c r="D68" s="72"/>
    </row>
    <row r="69" spans="1:4" ht="36" customHeight="1" x14ac:dyDescent="0.2">
      <c r="A69" s="211" t="s">
        <v>197</v>
      </c>
      <c r="B69" s="212"/>
      <c r="C69" s="212"/>
      <c r="D69" s="213"/>
    </row>
    <row r="70" spans="1:4" ht="8" customHeight="1" x14ac:dyDescent="0.2">
      <c r="A70" s="67"/>
      <c r="B70" s="67"/>
      <c r="C70" s="67"/>
      <c r="D70" s="67"/>
    </row>
    <row r="71" spans="1:4" ht="22" customHeight="1" x14ac:dyDescent="0.2">
      <c r="A71" s="214" t="s">
        <v>198</v>
      </c>
      <c r="B71" s="215"/>
      <c r="C71" s="215"/>
      <c r="D71" s="215"/>
    </row>
    <row r="72" spans="1:4" ht="8" customHeight="1" x14ac:dyDescent="0.2">
      <c r="A72" s="67"/>
      <c r="B72" s="67"/>
      <c r="C72" s="67"/>
      <c r="D72" s="67"/>
    </row>
    <row r="73" spans="1:4" ht="22" customHeight="1" x14ac:dyDescent="0.2">
      <c r="A73" s="216" t="s">
        <v>199</v>
      </c>
      <c r="B73" s="216"/>
      <c r="C73" s="216"/>
      <c r="D73" s="216"/>
    </row>
    <row r="74" spans="1:4" ht="22" customHeight="1" x14ac:dyDescent="0.2">
      <c r="A74" s="217" t="s">
        <v>200</v>
      </c>
      <c r="B74" s="217"/>
      <c r="C74" s="217"/>
      <c r="D74" s="217"/>
    </row>
    <row r="75" spans="1:4" ht="22" customHeight="1" x14ac:dyDescent="0.2">
      <c r="A75" s="216" t="s">
        <v>201</v>
      </c>
      <c r="B75" s="216"/>
      <c r="C75" s="216"/>
      <c r="D75" s="216"/>
    </row>
    <row r="76" spans="1:4" ht="8" customHeight="1" thickBot="1" x14ac:dyDescent="0.25">
      <c r="A76" s="183"/>
      <c r="B76" s="183"/>
      <c r="C76" s="183"/>
      <c r="D76" s="183"/>
    </row>
    <row r="77" spans="1:4" ht="26" customHeight="1" x14ac:dyDescent="0.2">
      <c r="A77" s="218" t="s">
        <v>202</v>
      </c>
      <c r="B77" s="219"/>
      <c r="C77" s="219"/>
      <c r="D77" s="220"/>
    </row>
    <row r="78" spans="1:4" ht="80" customHeight="1" x14ac:dyDescent="0.2">
      <c r="A78" s="221" t="s">
        <v>363</v>
      </c>
      <c r="B78" s="222"/>
      <c r="C78" s="222"/>
      <c r="D78" s="223"/>
    </row>
    <row r="79" spans="1:4" ht="8" customHeight="1" x14ac:dyDescent="0.2">
      <c r="A79" s="184"/>
      <c r="B79" s="184"/>
      <c r="C79" s="184"/>
      <c r="D79" s="184"/>
    </row>
    <row r="80" spans="1:4" ht="32" customHeight="1" x14ac:dyDescent="0.2">
      <c r="A80" s="204" t="s">
        <v>203</v>
      </c>
      <c r="B80" s="204"/>
      <c r="C80" s="204"/>
      <c r="D80" s="204"/>
    </row>
    <row r="81" spans="1:4" ht="8" customHeight="1" x14ac:dyDescent="0.2">
      <c r="A81" s="185"/>
      <c r="B81" s="185"/>
      <c r="C81" s="185"/>
      <c r="D81" s="185"/>
    </row>
    <row r="82" spans="1:4" ht="60" customHeight="1" x14ac:dyDescent="0.2">
      <c r="A82" s="227" t="s">
        <v>204</v>
      </c>
      <c r="B82" s="228"/>
      <c r="C82" s="228"/>
      <c r="D82" s="229"/>
    </row>
    <row r="83" spans="1:4" ht="8" customHeight="1" x14ac:dyDescent="0.2">
      <c r="A83" s="184"/>
      <c r="B83" s="184"/>
      <c r="C83" s="184"/>
      <c r="D83" s="184"/>
    </row>
    <row r="84" spans="1:4" ht="22" customHeight="1" x14ac:dyDescent="0.2">
      <c r="A84" s="230" t="s">
        <v>205</v>
      </c>
      <c r="B84" s="230"/>
      <c r="C84" s="230"/>
      <c r="D84" s="230"/>
    </row>
    <row r="85" spans="1:4" ht="8" customHeight="1" x14ac:dyDescent="0.2">
      <c r="A85" s="184"/>
      <c r="B85" s="184"/>
      <c r="C85" s="184"/>
      <c r="D85" s="184"/>
    </row>
    <row r="86" spans="1:4" ht="36" customHeight="1" x14ac:dyDescent="0.2">
      <c r="A86" s="231" t="s">
        <v>206</v>
      </c>
      <c r="B86" s="231"/>
      <c r="C86" s="231"/>
      <c r="D86" s="231"/>
    </row>
    <row r="87" spans="1:4" ht="36" customHeight="1" x14ac:dyDescent="0.2">
      <c r="A87" s="232" t="s">
        <v>207</v>
      </c>
      <c r="B87" s="232"/>
      <c r="C87" s="232"/>
      <c r="D87" s="232"/>
    </row>
    <row r="88" spans="1:4" ht="36" customHeight="1" x14ac:dyDescent="0.2">
      <c r="A88" s="231" t="s">
        <v>208</v>
      </c>
      <c r="B88" s="231"/>
      <c r="C88" s="231"/>
      <c r="D88" s="231"/>
    </row>
    <row r="89" spans="1:4" ht="8" customHeight="1" x14ac:dyDescent="0.2">
      <c r="A89" s="184"/>
      <c r="B89" s="184"/>
      <c r="C89" s="184"/>
      <c r="D89" s="184"/>
    </row>
    <row r="90" spans="1:4" ht="20" customHeight="1" thickBot="1" x14ac:dyDescent="0.25">
      <c r="A90" s="233" t="s">
        <v>209</v>
      </c>
      <c r="B90" s="233"/>
      <c r="C90" s="233"/>
      <c r="D90" s="233"/>
    </row>
    <row r="91" spans="1:4" ht="20" customHeight="1" x14ac:dyDescent="0.2">
      <c r="A91" s="224" t="s">
        <v>444</v>
      </c>
      <c r="B91" s="224"/>
      <c r="C91" s="224"/>
      <c r="D91" s="224"/>
    </row>
    <row r="92" spans="1:4" ht="20" customHeight="1" x14ac:dyDescent="0.2">
      <c r="A92" s="225" t="s">
        <v>374</v>
      </c>
      <c r="B92" s="225"/>
      <c r="C92" s="225"/>
      <c r="D92" s="225"/>
    </row>
    <row r="93" spans="1:4" ht="20" customHeight="1" x14ac:dyDescent="0.2">
      <c r="A93" s="226" t="s">
        <v>375</v>
      </c>
      <c r="B93" s="226"/>
      <c r="C93" s="226"/>
      <c r="D93" s="226"/>
    </row>
  </sheetData>
  <mergeCells count="33">
    <mergeCell ref="A91:D91"/>
    <mergeCell ref="A92:D92"/>
    <mergeCell ref="A93:D93"/>
    <mergeCell ref="A82:D82"/>
    <mergeCell ref="A84:D84"/>
    <mergeCell ref="A86:D86"/>
    <mergeCell ref="A87:D87"/>
    <mergeCell ref="A88:D88"/>
    <mergeCell ref="A90:D90"/>
    <mergeCell ref="A80:D80"/>
    <mergeCell ref="A55:D55"/>
    <mergeCell ref="A56:D56"/>
    <mergeCell ref="A58:D58"/>
    <mergeCell ref="A67:D67"/>
    <mergeCell ref="A69:D69"/>
    <mergeCell ref="A71:D71"/>
    <mergeCell ref="A73:D73"/>
    <mergeCell ref="A74:D74"/>
    <mergeCell ref="A75:D75"/>
    <mergeCell ref="A77:D77"/>
    <mergeCell ref="A78:D78"/>
    <mergeCell ref="A53:D53"/>
    <mergeCell ref="A1:D1"/>
    <mergeCell ref="A3:D3"/>
    <mergeCell ref="A5:D5"/>
    <mergeCell ref="A7:D7"/>
    <mergeCell ref="A9:D9"/>
    <mergeCell ref="A11:D11"/>
    <mergeCell ref="A22:D22"/>
    <mergeCell ref="A24:D24"/>
    <mergeCell ref="A31:D31"/>
    <mergeCell ref="A38:D38"/>
    <mergeCell ref="A45:D45"/>
  </mergeCells>
  <hyperlinks>
    <hyperlink ref="A7" r:id="rId1" xr:uid="{AE7DFB3D-A219-D34C-8AF5-0187FD13EE97}"/>
    <hyperlink ref="A90" r:id="rId2" location="burden-of-proof-and-accountability-framework" xr:uid="{A99B1CD3-9883-304B-AACC-9CB44E0D3BDC}"/>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CB073-D11E-E345-B397-1457A195EB3C}">
  <dimension ref="A1:E139"/>
  <sheetViews>
    <sheetView workbookViewId="0">
      <pane ySplit="1" topLeftCell="A21" activePane="bottomLeft" state="frozen"/>
      <selection pane="bottomLeft" activeCell="A136" sqref="A136:E136"/>
    </sheetView>
  </sheetViews>
  <sheetFormatPr baseColWidth="10" defaultRowHeight="16" x14ac:dyDescent="0.2"/>
  <cols>
    <col min="1" max="1" width="58.33203125" style="1" customWidth="1"/>
    <col min="2" max="2" width="52" style="4" customWidth="1"/>
    <col min="3" max="3" width="46.6640625" style="1" customWidth="1"/>
    <col min="4" max="4" width="41.6640625" style="1" customWidth="1"/>
    <col min="5" max="5" width="50" style="1" customWidth="1"/>
    <col min="6" max="16384" width="10.83203125" style="1"/>
  </cols>
  <sheetData>
    <row r="1" spans="1:5" ht="45" customHeight="1" x14ac:dyDescent="0.2">
      <c r="A1" s="194" t="s">
        <v>364</v>
      </c>
      <c r="B1" s="195"/>
      <c r="C1" s="195"/>
      <c r="D1" s="195"/>
      <c r="E1" s="195"/>
    </row>
    <row r="2" spans="1:5" ht="8" customHeight="1" x14ac:dyDescent="0.2">
      <c r="A2" s="67"/>
      <c r="B2" s="90"/>
      <c r="C2" s="67"/>
      <c r="D2" s="67"/>
      <c r="E2" s="67"/>
    </row>
    <row r="3" spans="1:5" ht="32" customHeight="1" thickBot="1" x14ac:dyDescent="0.25">
      <c r="A3" s="192" t="s">
        <v>211</v>
      </c>
      <c r="B3" s="193"/>
      <c r="C3" s="193"/>
      <c r="D3" s="193"/>
      <c r="E3" s="193"/>
    </row>
    <row r="4" spans="1:5" ht="8" customHeight="1" x14ac:dyDescent="0.2">
      <c r="A4" s="68"/>
      <c r="B4" s="91"/>
      <c r="C4" s="68"/>
      <c r="D4" s="68"/>
      <c r="E4" s="68"/>
    </row>
    <row r="5" spans="1:5" ht="36" customHeight="1" x14ac:dyDescent="0.2">
      <c r="A5" s="234" t="s">
        <v>415</v>
      </c>
      <c r="B5" s="235"/>
      <c r="C5" s="235"/>
      <c r="D5" s="235"/>
      <c r="E5" s="235"/>
    </row>
    <row r="6" spans="1:5" ht="8" customHeight="1" x14ac:dyDescent="0.2">
      <c r="A6" s="67"/>
      <c r="B6" s="90"/>
      <c r="C6" s="67"/>
      <c r="D6" s="67"/>
      <c r="E6" s="67"/>
    </row>
    <row r="7" spans="1:5" ht="8" customHeight="1" x14ac:dyDescent="0.2">
      <c r="A7" s="67"/>
      <c r="B7" s="90"/>
      <c r="C7" s="67"/>
      <c r="D7" s="67"/>
      <c r="E7" s="67"/>
    </row>
    <row r="8" spans="1:5" ht="8" customHeight="1" x14ac:dyDescent="0.2">
      <c r="A8" s="67"/>
      <c r="B8" s="90"/>
      <c r="C8" s="67"/>
      <c r="D8" s="67"/>
      <c r="E8" s="67"/>
    </row>
    <row r="9" spans="1:5" ht="32" customHeight="1" thickBot="1" x14ac:dyDescent="0.25">
      <c r="A9" s="192" t="s">
        <v>212</v>
      </c>
      <c r="B9" s="193"/>
      <c r="C9" s="193"/>
      <c r="D9" s="193"/>
      <c r="E9" s="193"/>
    </row>
    <row r="10" spans="1:5" ht="8" customHeight="1" x14ac:dyDescent="0.2">
      <c r="A10" s="68"/>
      <c r="B10" s="91"/>
      <c r="C10" s="68"/>
      <c r="D10" s="68"/>
      <c r="E10" s="68"/>
    </row>
    <row r="11" spans="1:5" ht="17" thickBot="1" x14ac:dyDescent="0.25">
      <c r="A11" s="92" t="s">
        <v>213</v>
      </c>
      <c r="B11" s="93" t="s">
        <v>214</v>
      </c>
      <c r="C11" s="9" t="s">
        <v>215</v>
      </c>
      <c r="D11" s="9" t="s">
        <v>216</v>
      </c>
      <c r="E11" s="94" t="s">
        <v>217</v>
      </c>
    </row>
    <row r="12" spans="1:5" ht="80" x14ac:dyDescent="0.2">
      <c r="A12" s="20" t="s">
        <v>338</v>
      </c>
      <c r="B12" s="21" t="s">
        <v>218</v>
      </c>
      <c r="C12" s="22" t="s">
        <v>219</v>
      </c>
      <c r="D12" s="22" t="s">
        <v>220</v>
      </c>
      <c r="E12" s="23" t="s">
        <v>365</v>
      </c>
    </row>
    <row r="13" spans="1:5" ht="96" x14ac:dyDescent="0.2">
      <c r="A13" s="24" t="s">
        <v>372</v>
      </c>
      <c r="B13" s="25" t="s">
        <v>222</v>
      </c>
      <c r="C13" s="26" t="s">
        <v>223</v>
      </c>
      <c r="D13" s="26" t="s">
        <v>224</v>
      </c>
      <c r="E13" s="27" t="s">
        <v>366</v>
      </c>
    </row>
    <row r="14" spans="1:5" ht="97" thickBot="1" x14ac:dyDescent="0.25">
      <c r="A14" s="95" t="s">
        <v>349</v>
      </c>
      <c r="B14" s="96" t="s">
        <v>225</v>
      </c>
      <c r="C14" s="97" t="s">
        <v>226</v>
      </c>
      <c r="D14" s="97" t="s">
        <v>227</v>
      </c>
      <c r="E14" s="98" t="s">
        <v>367</v>
      </c>
    </row>
    <row r="15" spans="1:5" ht="8" customHeight="1" x14ac:dyDescent="0.2">
      <c r="A15" s="68"/>
      <c r="B15" s="91"/>
      <c r="C15" s="68"/>
      <c r="D15" s="68"/>
      <c r="E15" s="68"/>
    </row>
    <row r="16" spans="1:5" ht="32" customHeight="1" thickBot="1" x14ac:dyDescent="0.25">
      <c r="A16" s="192" t="s">
        <v>228</v>
      </c>
      <c r="B16" s="193"/>
      <c r="C16" s="193"/>
      <c r="D16" s="193"/>
      <c r="E16" s="193"/>
    </row>
    <row r="17" spans="1:5" ht="8" customHeight="1" x14ac:dyDescent="0.2">
      <c r="A17" s="68"/>
      <c r="B17" s="91"/>
      <c r="C17" s="68"/>
      <c r="D17" s="68"/>
      <c r="E17" s="68"/>
    </row>
    <row r="18" spans="1:5" x14ac:dyDescent="0.2">
      <c r="A18" s="9" t="s">
        <v>229</v>
      </c>
      <c r="B18" s="16" t="s">
        <v>230</v>
      </c>
      <c r="C18" s="9" t="s">
        <v>231</v>
      </c>
      <c r="D18" s="9"/>
      <c r="E18" s="9"/>
    </row>
    <row r="19" spans="1:5" ht="64" x14ac:dyDescent="0.2">
      <c r="A19" s="15" t="s">
        <v>232</v>
      </c>
      <c r="B19" s="11" t="s">
        <v>233</v>
      </c>
      <c r="C19" s="13" t="s">
        <v>234</v>
      </c>
      <c r="D19" s="67"/>
      <c r="E19" s="67"/>
    </row>
    <row r="20" spans="1:5" ht="85" x14ac:dyDescent="0.2">
      <c r="A20" s="14" t="s">
        <v>235</v>
      </c>
      <c r="B20" s="10" t="s">
        <v>236</v>
      </c>
      <c r="C20" s="14" t="s">
        <v>368</v>
      </c>
      <c r="D20" s="67"/>
      <c r="E20" s="67"/>
    </row>
    <row r="21" spans="1:5" ht="68" x14ac:dyDescent="0.2">
      <c r="A21" s="15" t="s">
        <v>237</v>
      </c>
      <c r="B21" s="11" t="s">
        <v>238</v>
      </c>
      <c r="C21" s="15" t="s">
        <v>239</v>
      </c>
      <c r="D21" s="67"/>
      <c r="E21" s="67"/>
    </row>
    <row r="22" spans="1:5" ht="48" x14ac:dyDescent="0.2">
      <c r="A22" s="14" t="s">
        <v>240</v>
      </c>
      <c r="B22" s="10" t="s">
        <v>241</v>
      </c>
      <c r="C22" s="12" t="s">
        <v>242</v>
      </c>
      <c r="D22" s="67"/>
      <c r="E22" s="67"/>
    </row>
    <row r="23" spans="1:5" ht="8" customHeight="1" x14ac:dyDescent="0.2">
      <c r="A23" s="67"/>
      <c r="B23" s="90"/>
      <c r="C23" s="67"/>
      <c r="D23" s="67"/>
      <c r="E23" s="67"/>
    </row>
    <row r="24" spans="1:5" ht="8" customHeight="1" x14ac:dyDescent="0.2">
      <c r="A24" s="67"/>
      <c r="B24" s="90"/>
      <c r="C24" s="67"/>
      <c r="D24" s="67"/>
      <c r="E24" s="67"/>
    </row>
    <row r="25" spans="1:5" ht="32" customHeight="1" thickBot="1" x14ac:dyDescent="0.25">
      <c r="A25" s="192" t="s">
        <v>243</v>
      </c>
      <c r="B25" s="193"/>
      <c r="C25" s="193"/>
      <c r="D25" s="193"/>
      <c r="E25" s="193"/>
    </row>
    <row r="26" spans="1:5" ht="8" customHeight="1" x14ac:dyDescent="0.2">
      <c r="A26" s="68"/>
      <c r="B26" s="91"/>
      <c r="C26" s="68"/>
      <c r="D26" s="68"/>
      <c r="E26" s="68"/>
    </row>
    <row r="27" spans="1:5" ht="26" customHeight="1" x14ac:dyDescent="0.2">
      <c r="A27" s="239" t="s">
        <v>244</v>
      </c>
      <c r="B27" s="240"/>
      <c r="C27" s="240"/>
      <c r="D27" s="240"/>
      <c r="E27" s="240"/>
    </row>
    <row r="28" spans="1:5" ht="8" customHeight="1" x14ac:dyDescent="0.2">
      <c r="A28" s="69"/>
      <c r="B28" s="99"/>
      <c r="C28" s="69"/>
      <c r="D28" s="69"/>
      <c r="E28" s="69"/>
    </row>
    <row r="29" spans="1:5" ht="20" customHeight="1" x14ac:dyDescent="0.2">
      <c r="A29" s="236" t="s">
        <v>245</v>
      </c>
      <c r="B29" s="237"/>
      <c r="C29" s="237"/>
      <c r="D29" s="237"/>
      <c r="E29" s="238"/>
    </row>
    <row r="30" spans="1:5" ht="20" customHeight="1" x14ac:dyDescent="0.2">
      <c r="A30" s="236" t="s">
        <v>246</v>
      </c>
      <c r="B30" s="237"/>
      <c r="C30" s="237"/>
      <c r="D30" s="237"/>
      <c r="E30" s="238"/>
    </row>
    <row r="31" spans="1:5" ht="20" customHeight="1" x14ac:dyDescent="0.2">
      <c r="A31" s="241" t="s">
        <v>247</v>
      </c>
      <c r="B31" s="242"/>
      <c r="C31" s="242"/>
      <c r="D31" s="242"/>
      <c r="E31" s="243"/>
    </row>
    <row r="32" spans="1:5" ht="20" customHeight="1" x14ac:dyDescent="0.2">
      <c r="A32" s="244" t="s">
        <v>248</v>
      </c>
      <c r="B32" s="245"/>
      <c r="C32" s="245"/>
      <c r="D32" s="245"/>
      <c r="E32" s="246"/>
    </row>
    <row r="33" spans="1:5" ht="20" customHeight="1" x14ac:dyDescent="0.2">
      <c r="A33" s="236" t="s">
        <v>249</v>
      </c>
      <c r="B33" s="237"/>
      <c r="C33" s="237"/>
      <c r="D33" s="237"/>
      <c r="E33" s="238"/>
    </row>
    <row r="34" spans="1:5" ht="20" customHeight="1" x14ac:dyDescent="0.2">
      <c r="A34" s="236" t="s">
        <v>250</v>
      </c>
      <c r="B34" s="237"/>
      <c r="C34" s="237"/>
      <c r="D34" s="237"/>
      <c r="E34" s="238"/>
    </row>
    <row r="35" spans="1:5" ht="20" customHeight="1" x14ac:dyDescent="0.2">
      <c r="A35" s="236" t="s">
        <v>251</v>
      </c>
      <c r="B35" s="237"/>
      <c r="C35" s="237"/>
      <c r="D35" s="237"/>
      <c r="E35" s="238"/>
    </row>
    <row r="36" spans="1:5" ht="20" customHeight="1" x14ac:dyDescent="0.2">
      <c r="A36" s="241" t="s">
        <v>252</v>
      </c>
      <c r="B36" s="242"/>
      <c r="C36" s="242"/>
      <c r="D36" s="242"/>
      <c r="E36" s="243"/>
    </row>
    <row r="37" spans="1:5" ht="20" customHeight="1" x14ac:dyDescent="0.2">
      <c r="A37" s="244" t="s">
        <v>253</v>
      </c>
      <c r="B37" s="245"/>
      <c r="C37" s="245"/>
      <c r="D37" s="245"/>
      <c r="E37" s="246"/>
    </row>
    <row r="38" spans="1:5" ht="20" customHeight="1" x14ac:dyDescent="0.2">
      <c r="A38" s="247" t="s">
        <v>254</v>
      </c>
      <c r="B38" s="248"/>
      <c r="C38" s="248"/>
      <c r="D38" s="248"/>
      <c r="E38" s="249"/>
    </row>
    <row r="39" spans="1:5" ht="20" customHeight="1" x14ac:dyDescent="0.2">
      <c r="A39" s="236" t="s">
        <v>255</v>
      </c>
      <c r="B39" s="237"/>
      <c r="C39" s="237"/>
      <c r="D39" s="237"/>
      <c r="E39" s="238"/>
    </row>
    <row r="40" spans="1:5" ht="20" customHeight="1" x14ac:dyDescent="0.2">
      <c r="A40" s="236" t="s">
        <v>256</v>
      </c>
      <c r="B40" s="237"/>
      <c r="C40" s="237"/>
      <c r="D40" s="237"/>
      <c r="E40" s="238"/>
    </row>
    <row r="41" spans="1:5" ht="20" customHeight="1" x14ac:dyDescent="0.2">
      <c r="A41" s="244" t="s">
        <v>257</v>
      </c>
      <c r="B41" s="245"/>
      <c r="C41" s="245"/>
      <c r="D41" s="245"/>
      <c r="E41" s="246"/>
    </row>
    <row r="42" spans="1:5" ht="20" customHeight="1" x14ac:dyDescent="0.2">
      <c r="A42" s="244" t="s">
        <v>258</v>
      </c>
      <c r="B42" s="245"/>
      <c r="C42" s="245"/>
      <c r="D42" s="245"/>
      <c r="E42" s="246"/>
    </row>
    <row r="43" spans="1:5" ht="20" customHeight="1" x14ac:dyDescent="0.2">
      <c r="A43" s="247" t="s">
        <v>259</v>
      </c>
      <c r="B43" s="248"/>
      <c r="C43" s="248"/>
      <c r="D43" s="248"/>
      <c r="E43" s="249"/>
    </row>
    <row r="44" spans="1:5" ht="8" customHeight="1" x14ac:dyDescent="0.2">
      <c r="A44" s="69"/>
      <c r="B44" s="99"/>
      <c r="C44" s="69"/>
      <c r="D44" s="69"/>
      <c r="E44" s="69"/>
    </row>
    <row r="45" spans="1:5" ht="32" customHeight="1" thickBot="1" x14ac:dyDescent="0.25">
      <c r="A45" s="251" t="s">
        <v>260</v>
      </c>
      <c r="B45" s="252"/>
      <c r="C45" s="252"/>
      <c r="D45" s="252"/>
      <c r="E45" s="252"/>
    </row>
    <row r="46" spans="1:5" ht="22" customHeight="1" x14ac:dyDescent="0.2">
      <c r="A46" s="253" t="s">
        <v>261</v>
      </c>
      <c r="B46" s="253"/>
      <c r="C46" s="253"/>
      <c r="D46" s="253"/>
      <c r="E46" s="253"/>
    </row>
    <row r="47" spans="1:5" ht="8" customHeight="1" thickBot="1" x14ac:dyDescent="0.25">
      <c r="A47" s="67"/>
      <c r="B47" s="90"/>
      <c r="C47" s="67"/>
      <c r="D47" s="67"/>
      <c r="E47" s="67"/>
    </row>
    <row r="48" spans="1:5" ht="17" thickBot="1" x14ac:dyDescent="0.25">
      <c r="A48" s="18" t="s">
        <v>262</v>
      </c>
      <c r="B48" s="28" t="s">
        <v>263</v>
      </c>
      <c r="C48" s="17" t="s">
        <v>264</v>
      </c>
      <c r="D48" s="19" t="s">
        <v>265</v>
      </c>
      <c r="E48" s="19"/>
    </row>
    <row r="49" spans="1:5" ht="32" x14ac:dyDescent="0.2">
      <c r="A49" s="15" t="s">
        <v>266</v>
      </c>
      <c r="B49" s="11" t="s">
        <v>267</v>
      </c>
      <c r="C49" s="13" t="s">
        <v>268</v>
      </c>
      <c r="D49" s="13" t="s">
        <v>269</v>
      </c>
    </row>
    <row r="50" spans="1:5" ht="17" x14ac:dyDescent="0.2">
      <c r="A50" s="14" t="s">
        <v>270</v>
      </c>
      <c r="B50" s="10" t="s">
        <v>271</v>
      </c>
      <c r="C50" s="12" t="s">
        <v>272</v>
      </c>
      <c r="D50" s="12" t="s">
        <v>273</v>
      </c>
    </row>
    <row r="51" spans="1:5" ht="32" x14ac:dyDescent="0.2">
      <c r="A51" s="54" t="s">
        <v>274</v>
      </c>
      <c r="B51" s="11" t="s">
        <v>275</v>
      </c>
      <c r="C51" s="13" t="s">
        <v>276</v>
      </c>
      <c r="D51" s="13" t="s">
        <v>277</v>
      </c>
    </row>
    <row r="52" spans="1:5" ht="32" x14ac:dyDescent="0.2">
      <c r="A52" s="14" t="s">
        <v>435</v>
      </c>
      <c r="B52" s="10" t="s">
        <v>278</v>
      </c>
      <c r="C52" s="12" t="s">
        <v>279</v>
      </c>
      <c r="D52" s="12" t="s">
        <v>280</v>
      </c>
    </row>
    <row r="53" spans="1:5" ht="33" x14ac:dyDescent="0.2">
      <c r="A53" s="15" t="s">
        <v>438</v>
      </c>
      <c r="B53" s="11" t="s">
        <v>281</v>
      </c>
      <c r="C53" s="13" t="s">
        <v>282</v>
      </c>
      <c r="D53" s="13" t="s">
        <v>283</v>
      </c>
    </row>
    <row r="54" spans="1:5" ht="8" customHeight="1" x14ac:dyDescent="0.2">
      <c r="A54" s="67"/>
      <c r="B54" s="90"/>
      <c r="C54" s="67"/>
      <c r="D54" s="67"/>
      <c r="E54" s="67"/>
    </row>
    <row r="55" spans="1:5" ht="32" customHeight="1" thickBot="1" x14ac:dyDescent="0.25">
      <c r="A55" s="192" t="s">
        <v>284</v>
      </c>
      <c r="B55" s="193"/>
      <c r="C55" s="193"/>
      <c r="D55" s="193"/>
      <c r="E55" s="193"/>
    </row>
    <row r="56" spans="1:5" ht="8" customHeight="1" x14ac:dyDescent="0.2">
      <c r="A56" s="68"/>
      <c r="B56" s="91"/>
      <c r="C56" s="68"/>
      <c r="D56" s="68"/>
      <c r="E56" s="68"/>
    </row>
    <row r="57" spans="1:5" ht="26" customHeight="1" x14ac:dyDescent="0.2">
      <c r="A57" s="254" t="s">
        <v>285</v>
      </c>
      <c r="B57" s="255"/>
      <c r="C57" s="255"/>
      <c r="D57" s="255"/>
      <c r="E57" s="256"/>
    </row>
    <row r="58" spans="1:5" ht="8" customHeight="1" x14ac:dyDescent="0.2">
      <c r="A58" s="74"/>
      <c r="B58" s="100"/>
      <c r="C58" s="74"/>
      <c r="D58" s="74"/>
      <c r="E58" s="74"/>
    </row>
    <row r="59" spans="1:5" ht="24" customHeight="1" x14ac:dyDescent="0.2">
      <c r="A59" s="239" t="s">
        <v>286</v>
      </c>
      <c r="B59" s="240"/>
      <c r="C59" s="240"/>
      <c r="D59" s="240"/>
      <c r="E59" s="240"/>
    </row>
    <row r="60" spans="1:5" ht="8" customHeight="1" x14ac:dyDescent="0.2">
      <c r="A60" s="69"/>
      <c r="B60" s="99"/>
      <c r="C60" s="69"/>
      <c r="D60" s="69"/>
      <c r="E60" s="69"/>
    </row>
    <row r="61" spans="1:5" ht="30" customHeight="1" x14ac:dyDescent="0.2">
      <c r="A61" s="250" t="s">
        <v>287</v>
      </c>
      <c r="B61" s="250"/>
      <c r="C61" s="250"/>
      <c r="D61" s="250"/>
      <c r="E61" s="250"/>
    </row>
    <row r="62" spans="1:5" ht="30" customHeight="1" x14ac:dyDescent="0.2">
      <c r="A62" s="257" t="s">
        <v>288</v>
      </c>
      <c r="B62" s="257"/>
      <c r="C62" s="257"/>
      <c r="D62" s="257"/>
      <c r="E62" s="257"/>
    </row>
    <row r="63" spans="1:5" ht="30" customHeight="1" x14ac:dyDescent="0.2">
      <c r="A63" s="250" t="s">
        <v>289</v>
      </c>
      <c r="B63" s="250"/>
      <c r="C63" s="250"/>
      <c r="D63" s="250"/>
      <c r="E63" s="250"/>
    </row>
    <row r="64" spans="1:5" ht="8" customHeight="1" x14ac:dyDescent="0.2">
      <c r="A64" s="101"/>
      <c r="B64" s="101"/>
      <c r="C64" s="67"/>
      <c r="D64" s="67"/>
      <c r="E64" s="67"/>
    </row>
    <row r="65" spans="1:5" ht="26" customHeight="1" x14ac:dyDescent="0.2">
      <c r="A65" s="260" t="s">
        <v>290</v>
      </c>
      <c r="B65" s="260"/>
      <c r="C65" s="260"/>
      <c r="D65" s="260"/>
      <c r="E65" s="260"/>
    </row>
    <row r="66" spans="1:5" ht="8" customHeight="1" x14ac:dyDescent="0.2">
      <c r="A66" s="101"/>
      <c r="B66" s="101"/>
      <c r="C66" s="67"/>
      <c r="D66" s="67"/>
      <c r="E66" s="67"/>
    </row>
    <row r="67" spans="1:5" ht="24" customHeight="1" x14ac:dyDescent="0.2">
      <c r="A67" s="261" t="s">
        <v>291</v>
      </c>
      <c r="B67" s="261"/>
      <c r="C67" s="261"/>
      <c r="D67" s="261"/>
      <c r="E67" s="261"/>
    </row>
    <row r="68" spans="1:5" ht="24" customHeight="1" x14ac:dyDescent="0.2">
      <c r="A68" s="262" t="s">
        <v>292</v>
      </c>
      <c r="B68" s="262"/>
      <c r="C68" s="262"/>
      <c r="D68" s="262"/>
      <c r="E68" s="262"/>
    </row>
    <row r="69" spans="1:5" ht="24" customHeight="1" x14ac:dyDescent="0.2">
      <c r="A69" s="261" t="s">
        <v>293</v>
      </c>
      <c r="B69" s="261"/>
      <c r="C69" s="261"/>
      <c r="D69" s="261"/>
      <c r="E69" s="261"/>
    </row>
    <row r="70" spans="1:5" ht="8" customHeight="1" x14ac:dyDescent="0.2">
      <c r="A70" s="101"/>
      <c r="B70" s="102"/>
      <c r="C70" s="67"/>
      <c r="D70" s="67"/>
      <c r="E70" s="67"/>
    </row>
    <row r="71" spans="1:5" ht="32" customHeight="1" thickBot="1" x14ac:dyDescent="0.25">
      <c r="A71" s="263" t="s">
        <v>294</v>
      </c>
      <c r="B71" s="264"/>
      <c r="C71" s="264"/>
      <c r="D71" s="264"/>
      <c r="E71" s="264"/>
    </row>
    <row r="72" spans="1:5" ht="8" customHeight="1" x14ac:dyDescent="0.2">
      <c r="A72" s="103"/>
      <c r="B72" s="104"/>
      <c r="C72" s="68"/>
      <c r="D72" s="68"/>
      <c r="E72" s="68"/>
    </row>
    <row r="73" spans="1:5" ht="30" customHeight="1" thickBot="1" x14ac:dyDescent="0.25">
      <c r="A73" s="265" t="s">
        <v>295</v>
      </c>
      <c r="B73" s="266"/>
      <c r="C73" s="266"/>
      <c r="D73" s="266"/>
      <c r="E73" s="266"/>
    </row>
    <row r="74" spans="1:5" ht="8" customHeight="1" x14ac:dyDescent="0.2">
      <c r="A74" s="105"/>
      <c r="B74" s="106"/>
      <c r="C74" s="107"/>
      <c r="D74" s="107"/>
      <c r="E74" s="107"/>
    </row>
    <row r="75" spans="1:5" ht="22" customHeight="1" x14ac:dyDescent="0.2">
      <c r="A75" s="267" t="s">
        <v>296</v>
      </c>
      <c r="B75" s="267"/>
      <c r="C75" s="267"/>
      <c r="D75" s="267"/>
      <c r="E75" s="267"/>
    </row>
    <row r="76" spans="1:5" ht="8" customHeight="1" x14ac:dyDescent="0.2">
      <c r="A76" s="101"/>
      <c r="B76" s="102"/>
      <c r="C76" s="67"/>
      <c r="D76" s="67"/>
      <c r="E76" s="67"/>
    </row>
    <row r="77" spans="1:5" ht="22" customHeight="1" x14ac:dyDescent="0.2">
      <c r="A77" s="268" t="s">
        <v>297</v>
      </c>
      <c r="B77" s="268"/>
      <c r="C77" s="268"/>
      <c r="D77" s="268"/>
      <c r="E77" s="268"/>
    </row>
    <row r="78" spans="1:5" ht="8" customHeight="1" x14ac:dyDescent="0.2">
      <c r="A78" s="101"/>
      <c r="B78" s="102"/>
      <c r="C78" s="67"/>
      <c r="D78" s="67"/>
      <c r="E78" s="67"/>
    </row>
    <row r="79" spans="1:5" ht="22" customHeight="1" x14ac:dyDescent="0.2">
      <c r="A79" s="261" t="s">
        <v>298</v>
      </c>
      <c r="B79" s="261"/>
      <c r="C79" s="261"/>
      <c r="D79" s="261"/>
      <c r="E79" s="261"/>
    </row>
    <row r="80" spans="1:5" ht="22" customHeight="1" x14ac:dyDescent="0.2">
      <c r="A80" s="261" t="s">
        <v>299</v>
      </c>
      <c r="B80" s="261"/>
      <c r="C80" s="261"/>
      <c r="D80" s="261"/>
      <c r="E80" s="261"/>
    </row>
    <row r="81" spans="1:5" ht="22" customHeight="1" x14ac:dyDescent="0.2">
      <c r="A81" s="261" t="s">
        <v>300</v>
      </c>
      <c r="B81" s="261"/>
      <c r="C81" s="261"/>
      <c r="D81" s="261"/>
      <c r="E81" s="261"/>
    </row>
    <row r="82" spans="1:5" ht="8" customHeight="1" x14ac:dyDescent="0.2">
      <c r="A82" s="101"/>
      <c r="B82" s="102"/>
      <c r="C82" s="67"/>
      <c r="D82" s="67"/>
      <c r="E82" s="67"/>
    </row>
    <row r="83" spans="1:5" ht="42" customHeight="1" x14ac:dyDescent="0.2">
      <c r="A83" s="258" t="s">
        <v>301</v>
      </c>
      <c r="B83" s="259"/>
      <c r="C83" s="259"/>
      <c r="D83" s="259"/>
      <c r="E83" s="259"/>
    </row>
    <row r="84" spans="1:5" ht="8" customHeight="1" x14ac:dyDescent="0.2">
      <c r="A84" s="101"/>
      <c r="B84" s="102"/>
      <c r="C84" s="67"/>
      <c r="D84" s="67"/>
      <c r="E84" s="67"/>
    </row>
    <row r="85" spans="1:5" ht="28" customHeight="1" x14ac:dyDescent="0.2">
      <c r="A85" s="270" t="s">
        <v>302</v>
      </c>
      <c r="B85" s="270"/>
      <c r="C85" s="270"/>
      <c r="D85" s="270"/>
      <c r="E85" s="270"/>
    </row>
    <row r="86" spans="1:5" ht="8" customHeight="1" x14ac:dyDescent="0.2">
      <c r="A86" s="101"/>
      <c r="B86" s="102"/>
      <c r="C86" s="67"/>
      <c r="D86" s="67"/>
      <c r="E86" s="67"/>
    </row>
    <row r="87" spans="1:5" ht="8" customHeight="1" x14ac:dyDescent="0.2">
      <c r="A87" s="101"/>
      <c r="B87" s="102"/>
      <c r="C87" s="67"/>
      <c r="D87" s="67"/>
      <c r="E87" s="67"/>
    </row>
    <row r="88" spans="1:5" ht="8" customHeight="1" x14ac:dyDescent="0.2">
      <c r="A88" s="101"/>
      <c r="B88" s="102"/>
      <c r="C88" s="67"/>
      <c r="D88" s="67"/>
      <c r="E88" s="67"/>
    </row>
    <row r="89" spans="1:5" ht="30" customHeight="1" thickBot="1" x14ac:dyDescent="0.25">
      <c r="A89" s="271" t="s">
        <v>303</v>
      </c>
      <c r="B89" s="271"/>
      <c r="C89" s="271"/>
      <c r="D89" s="271"/>
      <c r="E89" s="271"/>
    </row>
    <row r="90" spans="1:5" ht="8" customHeight="1" x14ac:dyDescent="0.2">
      <c r="A90" s="108"/>
      <c r="B90" s="108"/>
      <c r="C90" s="109"/>
      <c r="D90" s="109"/>
      <c r="E90" s="109"/>
    </row>
    <row r="91" spans="1:5" ht="22" customHeight="1" x14ac:dyDescent="0.2">
      <c r="A91" s="267" t="s">
        <v>304</v>
      </c>
      <c r="B91" s="267"/>
      <c r="C91" s="267"/>
      <c r="D91" s="267"/>
      <c r="E91" s="267"/>
    </row>
    <row r="92" spans="1:5" ht="8" customHeight="1" x14ac:dyDescent="0.2">
      <c r="A92" s="101"/>
      <c r="B92" s="101"/>
      <c r="C92" s="67"/>
      <c r="D92" s="67"/>
      <c r="E92" s="67"/>
    </row>
    <row r="93" spans="1:5" ht="22" customHeight="1" x14ac:dyDescent="0.2">
      <c r="A93" s="268" t="s">
        <v>297</v>
      </c>
      <c r="B93" s="268"/>
      <c r="C93" s="268"/>
      <c r="D93" s="268"/>
      <c r="E93" s="268"/>
    </row>
    <row r="94" spans="1:5" ht="8" customHeight="1" x14ac:dyDescent="0.2">
      <c r="A94" s="101"/>
      <c r="B94" s="101"/>
      <c r="C94" s="67"/>
      <c r="D94" s="67"/>
      <c r="E94" s="67"/>
    </row>
    <row r="95" spans="1:5" ht="22" customHeight="1" x14ac:dyDescent="0.2">
      <c r="A95" s="261" t="s">
        <v>305</v>
      </c>
      <c r="B95" s="261"/>
      <c r="C95" s="261"/>
      <c r="D95" s="261"/>
      <c r="E95" s="261"/>
    </row>
    <row r="96" spans="1:5" ht="22" customHeight="1" x14ac:dyDescent="0.2">
      <c r="A96" s="261" t="s">
        <v>306</v>
      </c>
      <c r="B96" s="261"/>
      <c r="C96" s="261"/>
      <c r="D96" s="261"/>
      <c r="E96" s="261"/>
    </row>
    <row r="97" spans="1:5" ht="22" customHeight="1" x14ac:dyDescent="0.2">
      <c r="A97" s="261" t="s">
        <v>307</v>
      </c>
      <c r="B97" s="261"/>
      <c r="C97" s="261"/>
      <c r="D97" s="261"/>
      <c r="E97" s="261"/>
    </row>
    <row r="98" spans="1:5" ht="8" customHeight="1" x14ac:dyDescent="0.2">
      <c r="A98" s="101"/>
      <c r="B98" s="101"/>
      <c r="C98" s="67"/>
      <c r="D98" s="67"/>
      <c r="E98" s="67"/>
    </row>
    <row r="99" spans="1:5" ht="22" customHeight="1" x14ac:dyDescent="0.2">
      <c r="A99" s="268" t="s">
        <v>308</v>
      </c>
      <c r="B99" s="268"/>
      <c r="C99" s="268"/>
      <c r="D99" s="268"/>
      <c r="E99" s="268"/>
    </row>
    <row r="100" spans="1:5" ht="8" customHeight="1" x14ac:dyDescent="0.2">
      <c r="A100" s="101"/>
      <c r="B100" s="67"/>
      <c r="C100" s="67"/>
      <c r="D100" s="67"/>
      <c r="E100" s="67"/>
    </row>
    <row r="101" spans="1:5" ht="22" customHeight="1" x14ac:dyDescent="0.2">
      <c r="A101" s="269" t="s">
        <v>309</v>
      </c>
      <c r="B101" s="269"/>
      <c r="C101" s="269"/>
      <c r="D101" s="269"/>
      <c r="E101" s="269"/>
    </row>
    <row r="102" spans="1:5" ht="22" customHeight="1" x14ac:dyDescent="0.2">
      <c r="A102" s="269" t="s">
        <v>310</v>
      </c>
      <c r="B102" s="269"/>
      <c r="C102" s="269"/>
      <c r="D102" s="269"/>
      <c r="E102" s="269"/>
    </row>
    <row r="103" spans="1:5" ht="22" customHeight="1" x14ac:dyDescent="0.2">
      <c r="A103" s="269" t="s">
        <v>311</v>
      </c>
      <c r="B103" s="269"/>
      <c r="C103" s="269"/>
      <c r="D103" s="269"/>
      <c r="E103" s="269"/>
    </row>
    <row r="104" spans="1:5" ht="22" customHeight="1" x14ac:dyDescent="0.2">
      <c r="A104" s="269" t="s">
        <v>312</v>
      </c>
      <c r="B104" s="269"/>
      <c r="C104" s="269"/>
      <c r="D104" s="269"/>
      <c r="E104" s="269"/>
    </row>
    <row r="105" spans="1:5" ht="8" customHeight="1" x14ac:dyDescent="0.2">
      <c r="A105" s="101"/>
      <c r="B105" s="67"/>
      <c r="C105" s="67"/>
      <c r="D105" s="67"/>
      <c r="E105" s="67"/>
    </row>
    <row r="106" spans="1:5" ht="55" customHeight="1" x14ac:dyDescent="0.2">
      <c r="A106" s="258" t="s">
        <v>369</v>
      </c>
      <c r="B106" s="259"/>
      <c r="C106" s="259"/>
      <c r="D106" s="259"/>
      <c r="E106" s="259"/>
    </row>
    <row r="107" spans="1:5" ht="8" customHeight="1" x14ac:dyDescent="0.2">
      <c r="A107" s="101"/>
      <c r="B107" s="90"/>
      <c r="C107" s="67"/>
      <c r="D107" s="67"/>
      <c r="E107" s="67"/>
    </row>
    <row r="108" spans="1:5" ht="28" customHeight="1" x14ac:dyDescent="0.2">
      <c r="A108" s="273" t="s">
        <v>313</v>
      </c>
      <c r="B108" s="273"/>
      <c r="C108" s="273"/>
      <c r="D108" s="273"/>
      <c r="E108" s="273"/>
    </row>
    <row r="109" spans="1:5" ht="8" customHeight="1" x14ac:dyDescent="0.2">
      <c r="A109" s="101"/>
      <c r="B109" s="90"/>
      <c r="C109" s="67"/>
      <c r="D109" s="67"/>
      <c r="E109" s="67"/>
    </row>
    <row r="110" spans="1:5" ht="8" customHeight="1" x14ac:dyDescent="0.2">
      <c r="A110" s="101"/>
      <c r="B110" s="90"/>
      <c r="C110" s="67"/>
      <c r="D110" s="67"/>
      <c r="E110" s="67"/>
    </row>
    <row r="111" spans="1:5" ht="8" customHeight="1" x14ac:dyDescent="0.2">
      <c r="A111" s="101"/>
      <c r="B111" s="90"/>
      <c r="C111" s="67"/>
      <c r="D111" s="67"/>
      <c r="E111" s="67"/>
    </row>
    <row r="112" spans="1:5" ht="30" customHeight="1" thickBot="1" x14ac:dyDescent="0.25">
      <c r="A112" s="274" t="s">
        <v>314</v>
      </c>
      <c r="B112" s="274"/>
      <c r="C112" s="274"/>
      <c r="D112" s="274"/>
      <c r="E112" s="274"/>
    </row>
    <row r="113" spans="1:5" ht="8" customHeight="1" x14ac:dyDescent="0.2">
      <c r="A113" s="110"/>
      <c r="B113" s="73"/>
      <c r="C113" s="73"/>
      <c r="D113" s="73"/>
      <c r="E113" s="73"/>
    </row>
    <row r="114" spans="1:5" ht="22" customHeight="1" x14ac:dyDescent="0.2">
      <c r="A114" s="267" t="s">
        <v>315</v>
      </c>
      <c r="B114" s="267"/>
      <c r="C114" s="267"/>
      <c r="D114" s="267"/>
      <c r="E114" s="267"/>
    </row>
    <row r="115" spans="1:5" ht="8" customHeight="1" x14ac:dyDescent="0.2">
      <c r="A115" s="101"/>
      <c r="B115" s="67"/>
      <c r="C115" s="67"/>
      <c r="D115" s="67"/>
      <c r="E115" s="67"/>
    </row>
    <row r="116" spans="1:5" ht="22" customHeight="1" x14ac:dyDescent="0.2">
      <c r="A116" s="268" t="s">
        <v>316</v>
      </c>
      <c r="B116" s="268"/>
      <c r="C116" s="268"/>
      <c r="D116" s="268"/>
      <c r="E116" s="268"/>
    </row>
    <row r="117" spans="1:5" ht="8" customHeight="1" x14ac:dyDescent="0.2">
      <c r="A117" s="101"/>
      <c r="B117" s="67"/>
      <c r="C117" s="67"/>
      <c r="D117" s="67"/>
      <c r="E117" s="67"/>
    </row>
    <row r="118" spans="1:5" ht="22" customHeight="1" x14ac:dyDescent="0.2">
      <c r="A118" s="261" t="s">
        <v>317</v>
      </c>
      <c r="B118" s="261"/>
      <c r="C118" s="261"/>
      <c r="D118" s="261"/>
      <c r="E118" s="261"/>
    </row>
    <row r="119" spans="1:5" ht="22" customHeight="1" x14ac:dyDescent="0.2">
      <c r="A119" s="261" t="s">
        <v>318</v>
      </c>
      <c r="B119" s="261"/>
      <c r="C119" s="261"/>
      <c r="D119" s="261"/>
      <c r="E119" s="261"/>
    </row>
    <row r="120" spans="1:5" ht="22" customHeight="1" x14ac:dyDescent="0.2">
      <c r="A120" s="261" t="s">
        <v>319</v>
      </c>
      <c r="B120" s="261"/>
      <c r="C120" s="261"/>
      <c r="D120" s="261"/>
      <c r="E120" s="261"/>
    </row>
    <row r="121" spans="1:5" ht="8" customHeight="1" x14ac:dyDescent="0.2">
      <c r="A121" s="101"/>
      <c r="B121" s="67"/>
      <c r="C121" s="67"/>
      <c r="D121" s="67"/>
      <c r="E121" s="67"/>
    </row>
    <row r="122" spans="1:5" ht="22" customHeight="1" x14ac:dyDescent="0.2">
      <c r="A122" s="268" t="s">
        <v>320</v>
      </c>
      <c r="B122" s="268"/>
      <c r="C122" s="268"/>
      <c r="D122" s="268"/>
      <c r="E122" s="268"/>
    </row>
    <row r="123" spans="1:5" ht="8" customHeight="1" x14ac:dyDescent="0.2">
      <c r="A123" s="101"/>
      <c r="B123" s="67"/>
      <c r="C123" s="67"/>
      <c r="D123" s="67"/>
      <c r="E123" s="67"/>
    </row>
    <row r="124" spans="1:5" ht="24" customHeight="1" x14ac:dyDescent="0.2">
      <c r="A124" s="272" t="s">
        <v>321</v>
      </c>
      <c r="B124" s="272"/>
      <c r="C124" s="272"/>
      <c r="D124" s="272"/>
      <c r="E124" s="272"/>
    </row>
    <row r="125" spans="1:5" ht="24" customHeight="1" x14ac:dyDescent="0.2">
      <c r="A125" s="272" t="s">
        <v>322</v>
      </c>
      <c r="B125" s="272"/>
      <c r="C125" s="272"/>
      <c r="D125" s="272"/>
      <c r="E125" s="272"/>
    </row>
    <row r="126" spans="1:5" ht="24" customHeight="1" x14ac:dyDescent="0.2">
      <c r="A126" s="272" t="s">
        <v>323</v>
      </c>
      <c r="B126" s="272"/>
      <c r="C126" s="272"/>
      <c r="D126" s="272"/>
      <c r="E126" s="272"/>
    </row>
    <row r="127" spans="1:5" ht="24" customHeight="1" x14ac:dyDescent="0.2">
      <c r="A127" s="272" t="s">
        <v>324</v>
      </c>
      <c r="B127" s="272"/>
      <c r="C127" s="272"/>
      <c r="D127" s="272"/>
      <c r="E127" s="272"/>
    </row>
    <row r="128" spans="1:5" ht="24" customHeight="1" x14ac:dyDescent="0.2">
      <c r="A128" s="272" t="s">
        <v>325</v>
      </c>
      <c r="B128" s="272"/>
      <c r="C128" s="272"/>
      <c r="D128" s="272"/>
      <c r="E128" s="272"/>
    </row>
    <row r="129" spans="1:5" ht="8" customHeight="1" x14ac:dyDescent="0.2">
      <c r="A129" s="101"/>
      <c r="B129" s="67"/>
      <c r="C129" s="67"/>
      <c r="D129" s="67"/>
      <c r="E129" s="67"/>
    </row>
    <row r="130" spans="1:5" ht="55" customHeight="1" x14ac:dyDescent="0.2">
      <c r="A130" s="258" t="s">
        <v>326</v>
      </c>
      <c r="B130" s="259"/>
      <c r="C130" s="259"/>
      <c r="D130" s="259"/>
      <c r="E130" s="259"/>
    </row>
    <row r="131" spans="1:5" ht="8" customHeight="1" x14ac:dyDescent="0.2">
      <c r="A131" s="101"/>
      <c r="B131" s="90"/>
      <c r="C131" s="67"/>
      <c r="D131" s="67"/>
      <c r="E131" s="67"/>
    </row>
    <row r="132" spans="1:5" ht="28" customHeight="1" x14ac:dyDescent="0.2">
      <c r="A132" s="277" t="s">
        <v>327</v>
      </c>
      <c r="B132" s="277"/>
      <c r="C132" s="277"/>
      <c r="D132" s="277"/>
      <c r="E132" s="277"/>
    </row>
    <row r="133" spans="1:5" ht="8" customHeight="1" x14ac:dyDescent="0.2">
      <c r="A133" s="101"/>
      <c r="B133" s="90"/>
      <c r="C133" s="67"/>
      <c r="D133" s="67"/>
      <c r="E133" s="67"/>
    </row>
    <row r="134" spans="1:5" ht="8" customHeight="1" x14ac:dyDescent="0.2">
      <c r="A134" s="101"/>
      <c r="B134" s="90"/>
      <c r="C134" s="67"/>
      <c r="D134" s="67"/>
      <c r="E134" s="67"/>
    </row>
    <row r="135" spans="1:5" ht="8" customHeight="1" x14ac:dyDescent="0.2">
      <c r="A135" s="101"/>
      <c r="B135" s="90"/>
      <c r="C135" s="67"/>
      <c r="D135" s="67"/>
      <c r="E135" s="67"/>
    </row>
    <row r="136" spans="1:5" ht="32" customHeight="1" x14ac:dyDescent="0.2">
      <c r="A136" s="191" t="s">
        <v>443</v>
      </c>
      <c r="B136" s="191"/>
      <c r="C136" s="191"/>
      <c r="D136" s="191"/>
      <c r="E136" s="191"/>
    </row>
    <row r="137" spans="1:5" ht="8" customHeight="1" x14ac:dyDescent="0.2">
      <c r="A137" s="111"/>
      <c r="B137" s="90"/>
      <c r="C137" s="67"/>
      <c r="D137" s="67"/>
      <c r="E137" s="67"/>
    </row>
    <row r="138" spans="1:5" ht="20" customHeight="1" x14ac:dyDescent="0.2">
      <c r="A138" s="278" t="s">
        <v>442</v>
      </c>
      <c r="B138" s="276"/>
      <c r="C138" s="276"/>
      <c r="D138" s="276"/>
      <c r="E138" s="276"/>
    </row>
    <row r="139" spans="1:5" ht="20" customHeight="1" x14ac:dyDescent="0.2">
      <c r="A139" s="275" t="s">
        <v>439</v>
      </c>
      <c r="B139" s="276"/>
      <c r="C139" s="276"/>
      <c r="D139" s="276"/>
      <c r="E139" s="276"/>
    </row>
  </sheetData>
  <mergeCells count="73">
    <mergeCell ref="A139:E139"/>
    <mergeCell ref="A127:E127"/>
    <mergeCell ref="A128:E128"/>
    <mergeCell ref="A130:E130"/>
    <mergeCell ref="A132:E132"/>
    <mergeCell ref="A136:E136"/>
    <mergeCell ref="A138:E138"/>
    <mergeCell ref="A126:E126"/>
    <mergeCell ref="A106:E106"/>
    <mergeCell ref="A108:E108"/>
    <mergeCell ref="A112:E112"/>
    <mergeCell ref="A114:E114"/>
    <mergeCell ref="A116:E116"/>
    <mergeCell ref="A118:E118"/>
    <mergeCell ref="A119:E119"/>
    <mergeCell ref="A120:E120"/>
    <mergeCell ref="A122:E122"/>
    <mergeCell ref="A124:E124"/>
    <mergeCell ref="A125:E125"/>
    <mergeCell ref="A104:E104"/>
    <mergeCell ref="A85:E85"/>
    <mergeCell ref="A89:E89"/>
    <mergeCell ref="A91:E91"/>
    <mergeCell ref="A93:E93"/>
    <mergeCell ref="A95:E95"/>
    <mergeCell ref="A96:E96"/>
    <mergeCell ref="A97:E97"/>
    <mergeCell ref="A99:E99"/>
    <mergeCell ref="A101:E101"/>
    <mergeCell ref="A102:E102"/>
    <mergeCell ref="A103:E103"/>
    <mergeCell ref="A83:E83"/>
    <mergeCell ref="A65:E65"/>
    <mergeCell ref="A67:E67"/>
    <mergeCell ref="A68:E68"/>
    <mergeCell ref="A69:E69"/>
    <mergeCell ref="A71:E71"/>
    <mergeCell ref="A73:E73"/>
    <mergeCell ref="A75:E75"/>
    <mergeCell ref="A77:E77"/>
    <mergeCell ref="A79:E79"/>
    <mergeCell ref="A80:E80"/>
    <mergeCell ref="A81:E81"/>
    <mergeCell ref="A63:E63"/>
    <mergeCell ref="A40:E40"/>
    <mergeCell ref="A41:E41"/>
    <mergeCell ref="A42:E42"/>
    <mergeCell ref="A43:E43"/>
    <mergeCell ref="A45:E45"/>
    <mergeCell ref="A46:E46"/>
    <mergeCell ref="A55:E55"/>
    <mergeCell ref="A57:E57"/>
    <mergeCell ref="A59:E59"/>
    <mergeCell ref="A61:E61"/>
    <mergeCell ref="A62:E62"/>
    <mergeCell ref="A39:E39"/>
    <mergeCell ref="A27:E27"/>
    <mergeCell ref="A29:E29"/>
    <mergeCell ref="A30:E30"/>
    <mergeCell ref="A31:E31"/>
    <mergeCell ref="A32:E32"/>
    <mergeCell ref="A33:E33"/>
    <mergeCell ref="A34:E34"/>
    <mergeCell ref="A35:E35"/>
    <mergeCell ref="A36:E36"/>
    <mergeCell ref="A37:E37"/>
    <mergeCell ref="A38:E38"/>
    <mergeCell ref="A25:E25"/>
    <mergeCell ref="A1:E1"/>
    <mergeCell ref="A3:E3"/>
    <mergeCell ref="A5:E5"/>
    <mergeCell ref="A9:E9"/>
    <mergeCell ref="A16:E1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1"/>
  <sheetViews>
    <sheetView zoomScale="64" zoomScaleNormal="64" workbookViewId="0">
      <pane xSplit="1" ySplit="2" topLeftCell="B8" activePane="bottomRight" state="frozen"/>
      <selection pane="topRight" activeCell="B1" sqref="B1"/>
      <selection pane="bottomLeft" activeCell="A3" sqref="A3"/>
      <selection pane="bottomRight" activeCell="E16" sqref="E16"/>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82" customFormat="1" ht="31" customHeight="1" thickBot="1" x14ac:dyDescent="0.25">
      <c r="A1" s="279" t="s">
        <v>373</v>
      </c>
      <c r="B1" s="280"/>
      <c r="C1" s="280"/>
      <c r="D1" s="280"/>
      <c r="E1" s="280"/>
      <c r="F1" s="181"/>
      <c r="G1" s="181"/>
      <c r="H1" s="181"/>
      <c r="I1" s="181"/>
    </row>
    <row r="2" spans="1:20" s="3" customFormat="1" ht="19" x14ac:dyDescent="0.2">
      <c r="A2" s="32" t="s">
        <v>0</v>
      </c>
      <c r="B2" s="30" t="s">
        <v>384</v>
      </c>
      <c r="C2" s="30" t="s">
        <v>385</v>
      </c>
      <c r="D2" s="30" t="s">
        <v>1</v>
      </c>
      <c r="E2" s="30" t="s">
        <v>2</v>
      </c>
      <c r="F2" s="30" t="s">
        <v>3</v>
      </c>
      <c r="G2" s="30" t="s">
        <v>4</v>
      </c>
      <c r="H2" s="30" t="s">
        <v>5</v>
      </c>
      <c r="I2" s="31" t="s">
        <v>6</v>
      </c>
    </row>
    <row r="3" spans="1:20" ht="85" x14ac:dyDescent="0.2">
      <c r="A3" s="40">
        <v>1.1000000000000001</v>
      </c>
      <c r="B3" s="33" t="s">
        <v>7</v>
      </c>
      <c r="C3" s="34" t="s">
        <v>388</v>
      </c>
      <c r="D3" s="46" t="s">
        <v>338</v>
      </c>
      <c r="E3" s="43">
        <v>5</v>
      </c>
      <c r="F3" s="34" t="s">
        <v>9</v>
      </c>
      <c r="G3" s="34" t="s">
        <v>10</v>
      </c>
      <c r="H3" s="34" t="s">
        <v>11</v>
      </c>
      <c r="I3" s="35" t="s">
        <v>12</v>
      </c>
      <c r="J3" s="2"/>
      <c r="K3" s="2"/>
      <c r="L3" s="2"/>
      <c r="M3" s="2"/>
      <c r="N3" s="2"/>
      <c r="O3" s="2"/>
      <c r="P3" s="2"/>
      <c r="Q3" s="2"/>
      <c r="R3" s="2"/>
      <c r="S3" s="2"/>
      <c r="T3" s="2"/>
    </row>
    <row r="4" spans="1:20" ht="51" x14ac:dyDescent="0.2">
      <c r="A4" s="41">
        <v>1.2</v>
      </c>
      <c r="B4" s="36" t="s">
        <v>13</v>
      </c>
      <c r="C4" s="37" t="s">
        <v>389</v>
      </c>
      <c r="D4" s="46" t="s">
        <v>338</v>
      </c>
      <c r="E4" s="44">
        <v>5</v>
      </c>
      <c r="F4" s="37" t="s">
        <v>14</v>
      </c>
      <c r="G4" s="37" t="s">
        <v>15</v>
      </c>
      <c r="H4" s="37" t="s">
        <v>16</v>
      </c>
      <c r="I4" s="38" t="s">
        <v>17</v>
      </c>
      <c r="J4" s="2"/>
      <c r="K4" s="2"/>
      <c r="L4" s="2"/>
      <c r="M4" s="2"/>
      <c r="N4" s="2"/>
      <c r="O4" s="2"/>
      <c r="P4" s="2"/>
      <c r="Q4" s="2"/>
      <c r="R4" s="2"/>
      <c r="S4" s="2"/>
      <c r="T4" s="2"/>
    </row>
    <row r="5" spans="1:20" ht="85" x14ac:dyDescent="0.2">
      <c r="A5" s="40">
        <v>1.3</v>
      </c>
      <c r="B5" s="33" t="s">
        <v>18</v>
      </c>
      <c r="C5" s="34" t="s">
        <v>409</v>
      </c>
      <c r="D5" s="47" t="s">
        <v>372</v>
      </c>
      <c r="E5" s="43">
        <v>3</v>
      </c>
      <c r="F5" s="34" t="s">
        <v>19</v>
      </c>
      <c r="G5" s="34" t="s">
        <v>20</v>
      </c>
      <c r="H5" s="34" t="s">
        <v>21</v>
      </c>
      <c r="I5" s="35" t="s">
        <v>22</v>
      </c>
      <c r="J5" s="2"/>
      <c r="K5" s="2"/>
      <c r="L5" s="2"/>
      <c r="M5" s="2"/>
      <c r="N5" s="2"/>
      <c r="O5" s="2"/>
      <c r="P5" s="2"/>
      <c r="Q5" s="2"/>
      <c r="R5" s="2"/>
      <c r="S5" s="2"/>
      <c r="T5" s="2"/>
    </row>
    <row r="6" spans="1:20" ht="68" x14ac:dyDescent="0.2">
      <c r="A6" s="41">
        <v>1.4</v>
      </c>
      <c r="B6" s="37" t="s">
        <v>376</v>
      </c>
      <c r="C6" s="37" t="s">
        <v>390</v>
      </c>
      <c r="D6" s="47" t="s">
        <v>372</v>
      </c>
      <c r="E6" s="44">
        <v>3</v>
      </c>
      <c r="F6" s="37" t="s">
        <v>23</v>
      </c>
      <c r="G6" s="37" t="s">
        <v>24</v>
      </c>
      <c r="H6" s="37" t="s">
        <v>25</v>
      </c>
      <c r="I6" s="38" t="s">
        <v>26</v>
      </c>
      <c r="J6" s="2"/>
      <c r="K6" s="2"/>
      <c r="L6" s="2"/>
      <c r="M6" s="2"/>
      <c r="N6" s="2"/>
      <c r="O6" s="2"/>
      <c r="P6" s="2"/>
      <c r="Q6" s="2"/>
      <c r="R6" s="2"/>
      <c r="S6" s="2"/>
      <c r="T6" s="2"/>
    </row>
    <row r="7" spans="1:20" ht="68" x14ac:dyDescent="0.2">
      <c r="A7" s="40">
        <v>1.5</v>
      </c>
      <c r="B7" s="34" t="s">
        <v>377</v>
      </c>
      <c r="C7" s="34" t="s">
        <v>408</v>
      </c>
      <c r="D7" s="47" t="s">
        <v>372</v>
      </c>
      <c r="E7" s="43">
        <v>3</v>
      </c>
      <c r="F7" s="34" t="s">
        <v>23</v>
      </c>
      <c r="G7" s="34" t="s">
        <v>27</v>
      </c>
      <c r="H7" s="34" t="s">
        <v>28</v>
      </c>
      <c r="I7" s="177" t="s">
        <v>29</v>
      </c>
      <c r="J7" s="180"/>
      <c r="K7" s="2"/>
      <c r="L7" s="2"/>
      <c r="M7" s="2"/>
      <c r="N7" s="2"/>
      <c r="O7" s="2"/>
      <c r="P7" s="2"/>
      <c r="Q7" s="2"/>
      <c r="R7" s="2"/>
      <c r="S7" s="2"/>
      <c r="T7" s="2"/>
    </row>
    <row r="8" spans="1:20" ht="85" x14ac:dyDescent="0.2">
      <c r="A8" s="41">
        <v>2.1</v>
      </c>
      <c r="B8" s="37" t="s">
        <v>378</v>
      </c>
      <c r="C8" s="37" t="s">
        <v>391</v>
      </c>
      <c r="D8" s="47" t="s">
        <v>372</v>
      </c>
      <c r="E8" s="44">
        <v>4</v>
      </c>
      <c r="F8" s="37" t="s">
        <v>30</v>
      </c>
      <c r="G8" s="37" t="s">
        <v>31</v>
      </c>
      <c r="H8" s="37" t="s">
        <v>32</v>
      </c>
      <c r="I8" s="176" t="s">
        <v>33</v>
      </c>
      <c r="J8" s="180"/>
      <c r="K8" s="2"/>
      <c r="L8" s="2"/>
      <c r="M8" s="2"/>
      <c r="N8" s="2"/>
      <c r="O8" s="2"/>
      <c r="P8" s="2"/>
      <c r="Q8" s="2"/>
      <c r="R8" s="2"/>
      <c r="S8" s="2"/>
      <c r="T8" s="2"/>
    </row>
    <row r="9" spans="1:20" ht="68" x14ac:dyDescent="0.2">
      <c r="A9" s="40">
        <v>2.2000000000000002</v>
      </c>
      <c r="B9" s="34" t="s">
        <v>379</v>
      </c>
      <c r="C9" s="34" t="s">
        <v>392</v>
      </c>
      <c r="D9" s="48" t="s">
        <v>349</v>
      </c>
      <c r="E9" s="43">
        <v>5</v>
      </c>
      <c r="F9" s="34" t="s">
        <v>35</v>
      </c>
      <c r="G9" s="34" t="s">
        <v>36</v>
      </c>
      <c r="H9" s="34" t="s">
        <v>37</v>
      </c>
      <c r="I9" s="177" t="s">
        <v>38</v>
      </c>
      <c r="J9" s="180"/>
      <c r="K9" s="2"/>
      <c r="L9" s="2"/>
      <c r="M9" s="2"/>
      <c r="N9" s="2"/>
      <c r="O9" s="2"/>
      <c r="P9" s="2"/>
      <c r="Q9" s="2"/>
      <c r="R9" s="2"/>
      <c r="S9" s="2"/>
      <c r="T9" s="2"/>
    </row>
    <row r="10" spans="1:20" ht="85" x14ac:dyDescent="0.2">
      <c r="A10" s="41">
        <v>2.2999999999999998</v>
      </c>
      <c r="B10" s="37" t="s">
        <v>380</v>
      </c>
      <c r="C10" s="37" t="s">
        <v>393</v>
      </c>
      <c r="D10" s="48" t="s">
        <v>349</v>
      </c>
      <c r="E10" s="44">
        <v>5</v>
      </c>
      <c r="F10" s="37" t="s">
        <v>39</v>
      </c>
      <c r="G10" s="37" t="s">
        <v>445</v>
      </c>
      <c r="H10" s="37" t="s">
        <v>40</v>
      </c>
      <c r="I10" s="176" t="s">
        <v>446</v>
      </c>
      <c r="J10" s="180"/>
      <c r="K10" s="2"/>
      <c r="L10" s="2"/>
      <c r="M10" s="2"/>
      <c r="N10" s="2"/>
      <c r="O10" s="2"/>
      <c r="P10" s="2"/>
      <c r="Q10" s="2"/>
      <c r="R10" s="2"/>
      <c r="S10" s="2"/>
      <c r="T10" s="2"/>
    </row>
    <row r="11" spans="1:20" ht="85" x14ac:dyDescent="0.2">
      <c r="A11" s="40">
        <v>2.4</v>
      </c>
      <c r="B11" s="33" t="s">
        <v>41</v>
      </c>
      <c r="C11" s="34" t="s">
        <v>394</v>
      </c>
      <c r="D11" s="47" t="s">
        <v>372</v>
      </c>
      <c r="E11" s="43">
        <v>5</v>
      </c>
      <c r="F11" s="34" t="s">
        <v>99</v>
      </c>
      <c r="G11" s="34" t="s">
        <v>42</v>
      </c>
      <c r="H11" s="34" t="s">
        <v>43</v>
      </c>
      <c r="I11" s="177" t="s">
        <v>329</v>
      </c>
      <c r="J11" s="180"/>
      <c r="K11" s="2"/>
      <c r="L11" s="2"/>
      <c r="M11" s="2"/>
      <c r="N11" s="2"/>
      <c r="O11" s="2"/>
      <c r="P11" s="2"/>
      <c r="Q11" s="2"/>
      <c r="R11" s="2"/>
      <c r="S11" s="2"/>
      <c r="T11" s="2"/>
    </row>
    <row r="12" spans="1:20" ht="85" x14ac:dyDescent="0.2">
      <c r="A12" s="41">
        <v>2.5</v>
      </c>
      <c r="B12" s="36" t="s">
        <v>44</v>
      </c>
      <c r="C12" s="37" t="s">
        <v>395</v>
      </c>
      <c r="D12" s="48" t="s">
        <v>349</v>
      </c>
      <c r="E12" s="44">
        <v>4</v>
      </c>
      <c r="F12" s="37" t="s">
        <v>45</v>
      </c>
      <c r="G12" s="37" t="s">
        <v>46</v>
      </c>
      <c r="H12" s="37" t="s">
        <v>47</v>
      </c>
      <c r="I12" s="176" t="s">
        <v>48</v>
      </c>
      <c r="J12" s="180"/>
      <c r="K12" s="2"/>
      <c r="L12" s="2"/>
      <c r="M12" s="2"/>
      <c r="N12" s="2"/>
      <c r="O12" s="2"/>
      <c r="P12" s="2"/>
      <c r="Q12" s="2"/>
      <c r="R12" s="2"/>
      <c r="S12" s="2"/>
      <c r="T12" s="2"/>
    </row>
    <row r="13" spans="1:20" ht="68" x14ac:dyDescent="0.2">
      <c r="A13" s="40">
        <v>2.6</v>
      </c>
      <c r="B13" s="33" t="s">
        <v>49</v>
      </c>
      <c r="C13" s="34" t="s">
        <v>396</v>
      </c>
      <c r="D13" s="48" t="s">
        <v>349</v>
      </c>
      <c r="E13" s="43">
        <v>3</v>
      </c>
      <c r="F13" s="34" t="s">
        <v>19</v>
      </c>
      <c r="G13" s="34" t="s">
        <v>50</v>
      </c>
      <c r="H13" s="34" t="s">
        <v>51</v>
      </c>
      <c r="I13" s="177" t="s">
        <v>52</v>
      </c>
      <c r="J13" s="180"/>
      <c r="K13" s="2"/>
      <c r="L13" s="2"/>
      <c r="M13" s="2"/>
      <c r="N13" s="2"/>
      <c r="O13" s="2"/>
      <c r="P13" s="2"/>
      <c r="Q13" s="2"/>
      <c r="R13" s="2"/>
      <c r="S13" s="2"/>
      <c r="T13" s="2"/>
    </row>
    <row r="14" spans="1:20" ht="68" x14ac:dyDescent="0.2">
      <c r="A14" s="41">
        <v>2.7</v>
      </c>
      <c r="B14" s="36" t="s">
        <v>53</v>
      </c>
      <c r="C14" s="37" t="s">
        <v>397</v>
      </c>
      <c r="D14" s="47" t="s">
        <v>372</v>
      </c>
      <c r="E14" s="44">
        <v>3</v>
      </c>
      <c r="F14" s="37" t="s">
        <v>54</v>
      </c>
      <c r="G14" s="37" t="s">
        <v>55</v>
      </c>
      <c r="H14" s="37" t="s">
        <v>56</v>
      </c>
      <c r="I14" s="176" t="s">
        <v>57</v>
      </c>
      <c r="J14" s="180"/>
      <c r="K14" s="2"/>
      <c r="L14" s="2"/>
      <c r="M14" s="2"/>
      <c r="N14" s="2"/>
      <c r="O14" s="2"/>
      <c r="P14" s="2"/>
      <c r="Q14" s="2"/>
      <c r="R14" s="2"/>
      <c r="S14" s="2"/>
      <c r="T14" s="2"/>
    </row>
    <row r="15" spans="1:20" ht="97" customHeight="1" x14ac:dyDescent="0.2">
      <c r="A15" s="40">
        <v>2.8</v>
      </c>
      <c r="B15" s="33" t="s">
        <v>58</v>
      </c>
      <c r="C15" s="34" t="s">
        <v>398</v>
      </c>
      <c r="D15" s="47" t="s">
        <v>372</v>
      </c>
      <c r="E15" s="43">
        <v>3</v>
      </c>
      <c r="F15" s="34" t="s">
        <v>328</v>
      </c>
      <c r="G15" s="34" t="s">
        <v>330</v>
      </c>
      <c r="H15" s="34" t="s">
        <v>331</v>
      </c>
      <c r="I15" s="177" t="s">
        <v>329</v>
      </c>
      <c r="J15" s="180"/>
      <c r="K15" s="2"/>
      <c r="L15" s="2"/>
      <c r="M15" s="2"/>
      <c r="N15" s="2"/>
      <c r="O15" s="2"/>
      <c r="P15" s="2"/>
      <c r="Q15" s="2"/>
      <c r="R15" s="2"/>
      <c r="S15" s="2"/>
      <c r="T15" s="2"/>
    </row>
    <row r="16" spans="1:20" ht="97" customHeight="1" x14ac:dyDescent="0.2">
      <c r="A16" s="41">
        <v>3.1</v>
      </c>
      <c r="B16" s="37" t="s">
        <v>381</v>
      </c>
      <c r="C16" s="37" t="s">
        <v>399</v>
      </c>
      <c r="D16" s="47" t="s">
        <v>372</v>
      </c>
      <c r="E16" s="52">
        <v>4</v>
      </c>
      <c r="F16" s="37" t="s">
        <v>405</v>
      </c>
      <c r="G16" s="37" t="s">
        <v>406</v>
      </c>
      <c r="H16" s="37" t="s">
        <v>63</v>
      </c>
      <c r="I16" s="176" t="s">
        <v>407</v>
      </c>
      <c r="J16" s="180"/>
      <c r="K16" s="2"/>
      <c r="L16" s="2"/>
      <c r="M16" s="2"/>
      <c r="N16" s="2"/>
      <c r="O16" s="2"/>
      <c r="P16" s="2"/>
      <c r="Q16" s="2"/>
      <c r="R16" s="2"/>
      <c r="S16" s="2"/>
      <c r="T16" s="2"/>
    </row>
    <row r="17" spans="1:20" ht="85" x14ac:dyDescent="0.2">
      <c r="A17" s="40">
        <v>4.0999999999999996</v>
      </c>
      <c r="B17" s="34" t="s">
        <v>382</v>
      </c>
      <c r="C17" s="34" t="s">
        <v>404</v>
      </c>
      <c r="D17" s="46" t="s">
        <v>338</v>
      </c>
      <c r="E17" s="57">
        <v>5</v>
      </c>
      <c r="F17" s="56" t="s">
        <v>59</v>
      </c>
      <c r="G17" s="56" t="s">
        <v>60</v>
      </c>
      <c r="H17" s="56" t="s">
        <v>61</v>
      </c>
      <c r="I17" s="178" t="s">
        <v>62</v>
      </c>
      <c r="J17" s="180"/>
      <c r="K17" s="2"/>
      <c r="L17" s="2"/>
      <c r="M17" s="2"/>
      <c r="N17" s="2"/>
      <c r="O17" s="2"/>
      <c r="P17" s="2"/>
      <c r="Q17" s="2"/>
      <c r="R17" s="2"/>
      <c r="S17" s="2"/>
      <c r="T17" s="2"/>
    </row>
    <row r="18" spans="1:20" ht="68" x14ac:dyDescent="0.2">
      <c r="A18" s="52">
        <v>5.0999999999999996</v>
      </c>
      <c r="B18" s="37" t="s">
        <v>383</v>
      </c>
      <c r="C18" s="37" t="s">
        <v>400</v>
      </c>
      <c r="D18" s="47" t="s">
        <v>372</v>
      </c>
      <c r="E18" s="52">
        <v>3</v>
      </c>
      <c r="F18" s="37" t="s">
        <v>65</v>
      </c>
      <c r="G18" s="37" t="s">
        <v>66</v>
      </c>
      <c r="H18" s="37" t="s">
        <v>67</v>
      </c>
      <c r="I18" s="176" t="s">
        <v>68</v>
      </c>
      <c r="J18" s="180"/>
      <c r="K18" s="2"/>
      <c r="L18" s="2"/>
      <c r="M18" s="2"/>
      <c r="N18" s="2"/>
      <c r="O18" s="2"/>
      <c r="P18" s="2"/>
      <c r="Q18" s="2"/>
      <c r="R18" s="2"/>
      <c r="S18" s="2"/>
      <c r="T18" s="2"/>
    </row>
    <row r="19" spans="1:20" ht="70" x14ac:dyDescent="0.2">
      <c r="A19" s="40">
        <v>5.2</v>
      </c>
      <c r="B19" s="55" t="s">
        <v>69</v>
      </c>
      <c r="C19" s="56" t="s">
        <v>401</v>
      </c>
      <c r="D19" s="47" t="s">
        <v>372</v>
      </c>
      <c r="E19" s="57">
        <v>3</v>
      </c>
      <c r="F19" s="56" t="s">
        <v>70</v>
      </c>
      <c r="G19" s="56" t="s">
        <v>71</v>
      </c>
      <c r="H19" s="56" t="s">
        <v>72</v>
      </c>
      <c r="I19" s="178" t="s">
        <v>73</v>
      </c>
      <c r="J19" s="180"/>
      <c r="K19" s="2"/>
      <c r="L19" s="2"/>
      <c r="M19" s="2"/>
      <c r="N19" s="2"/>
      <c r="O19" s="2"/>
      <c r="P19" s="2"/>
      <c r="Q19" s="2"/>
      <c r="R19" s="2"/>
      <c r="S19" s="2"/>
      <c r="T19" s="2"/>
    </row>
    <row r="20" spans="1:20" ht="68" x14ac:dyDescent="0.2">
      <c r="A20" s="40" t="s">
        <v>74</v>
      </c>
      <c r="B20" s="34" t="s">
        <v>386</v>
      </c>
      <c r="C20" s="34" t="s">
        <v>402</v>
      </c>
      <c r="D20" s="48" t="s">
        <v>349</v>
      </c>
      <c r="E20" s="43">
        <v>5</v>
      </c>
      <c r="F20" s="34" t="s">
        <v>77</v>
      </c>
      <c r="G20" s="34" t="s">
        <v>78</v>
      </c>
      <c r="H20" s="34" t="s">
        <v>79</v>
      </c>
      <c r="I20" s="177" t="s">
        <v>80</v>
      </c>
      <c r="J20" s="180"/>
      <c r="K20" s="2"/>
      <c r="L20" s="2"/>
      <c r="M20" s="2"/>
      <c r="N20" s="2"/>
      <c r="O20" s="2"/>
      <c r="P20" s="2"/>
      <c r="Q20" s="2"/>
      <c r="R20" s="2"/>
      <c r="S20" s="2"/>
      <c r="T20" s="2"/>
    </row>
    <row r="21" spans="1:20" ht="85" x14ac:dyDescent="0.2">
      <c r="A21" s="42" t="s">
        <v>81</v>
      </c>
      <c r="B21" s="39" t="s">
        <v>387</v>
      </c>
      <c r="C21" s="39" t="s">
        <v>403</v>
      </c>
      <c r="D21" s="49" t="s">
        <v>349</v>
      </c>
      <c r="E21" s="45">
        <v>5</v>
      </c>
      <c r="F21" s="39" t="s">
        <v>83</v>
      </c>
      <c r="G21" s="39" t="s">
        <v>84</v>
      </c>
      <c r="H21" s="39" t="s">
        <v>85</v>
      </c>
      <c r="I21" s="179" t="s">
        <v>86</v>
      </c>
      <c r="J21" s="180"/>
      <c r="K21" s="2"/>
      <c r="L21" s="2"/>
      <c r="M21" s="2"/>
      <c r="N21" s="2"/>
      <c r="O21" s="2"/>
      <c r="P21" s="2"/>
      <c r="Q21" s="2"/>
      <c r="R21" s="2"/>
      <c r="S21" s="2"/>
      <c r="T21" s="2"/>
    </row>
  </sheetData>
  <mergeCells count="1">
    <mergeCell ref="A1:E1"/>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1"/>
  <sheetViews>
    <sheetView showGridLines="0" zoomScale="98" zoomScaleNormal="98" workbookViewId="0">
      <pane xSplit="1" ySplit="2" topLeftCell="D8" activePane="bottomRight" state="frozen"/>
      <selection pane="topRight" activeCell="B1" sqref="B1"/>
      <selection pane="bottomLeft" activeCell="A3" sqref="A3"/>
      <selection pane="bottomRight" activeCell="I10" sqref="I10"/>
    </sheetView>
  </sheetViews>
  <sheetFormatPr baseColWidth="10" defaultColWidth="8.33203125" defaultRowHeight="20" customHeight="1" x14ac:dyDescent="0.2"/>
  <cols>
    <col min="1" max="1" width="13.33203125" style="53" customWidth="1"/>
    <col min="2" max="2" width="34.6640625" style="8" customWidth="1"/>
    <col min="3" max="3" width="33.33203125" style="8" customWidth="1"/>
    <col min="4" max="4" width="19.1640625" style="6" customWidth="1"/>
    <col min="5" max="5" width="36.6640625" style="8" customWidth="1"/>
    <col min="6" max="6" width="53.33203125" style="6" customWidth="1"/>
    <col min="7" max="7" width="53.33203125" style="8" customWidth="1"/>
    <col min="8" max="8" width="58.33203125" style="6" customWidth="1"/>
    <col min="9" max="9" width="46.6640625" style="6" customWidth="1"/>
    <col min="10" max="10" width="15.1640625" style="6" customWidth="1"/>
    <col min="11" max="11" width="8.33203125" style="6" customWidth="1"/>
    <col min="12" max="16384" width="8.33203125" style="6"/>
  </cols>
  <sheetData>
    <row r="1" spans="1:12" s="51" customFormat="1" ht="45" customHeight="1" thickBot="1" x14ac:dyDescent="0.25">
      <c r="A1" s="186" t="s">
        <v>370</v>
      </c>
      <c r="B1" s="187"/>
      <c r="C1" s="187"/>
      <c r="D1" s="187"/>
      <c r="E1" s="187"/>
      <c r="F1" s="187"/>
      <c r="G1" s="187"/>
      <c r="H1" s="187"/>
      <c r="I1" s="187"/>
      <c r="J1" s="187"/>
      <c r="K1" s="50"/>
    </row>
    <row r="2" spans="1:12" s="175" customFormat="1" ht="35" customHeight="1" x14ac:dyDescent="0.2">
      <c r="A2" s="169" t="s">
        <v>434</v>
      </c>
      <c r="B2" s="170" t="s">
        <v>433</v>
      </c>
      <c r="C2" s="171" t="s">
        <v>332</v>
      </c>
      <c r="D2" s="171" t="s">
        <v>1</v>
      </c>
      <c r="E2" s="171" t="s">
        <v>333</v>
      </c>
      <c r="F2" s="171" t="s">
        <v>334</v>
      </c>
      <c r="G2" s="171" t="s">
        <v>5</v>
      </c>
      <c r="H2" s="171" t="s">
        <v>335</v>
      </c>
      <c r="I2" s="172" t="s">
        <v>6</v>
      </c>
      <c r="J2" s="173" t="s">
        <v>336</v>
      </c>
      <c r="K2" s="174"/>
    </row>
    <row r="3" spans="1:12" s="7" customFormat="1" ht="100" customHeight="1" x14ac:dyDescent="0.2">
      <c r="A3" s="165">
        <v>1.1000000000000001</v>
      </c>
      <c r="B3" s="144" t="s">
        <v>7</v>
      </c>
      <c r="C3" s="145" t="s">
        <v>337</v>
      </c>
      <c r="D3" s="146" t="s">
        <v>338</v>
      </c>
      <c r="E3" s="145" t="s">
        <v>9</v>
      </c>
      <c r="F3" s="145" t="s">
        <v>10</v>
      </c>
      <c r="G3" s="145" t="s">
        <v>11</v>
      </c>
      <c r="H3" s="145" t="s">
        <v>339</v>
      </c>
      <c r="I3" s="147" t="s">
        <v>12</v>
      </c>
      <c r="J3" s="160" t="s">
        <v>340</v>
      </c>
      <c r="K3" s="29"/>
      <c r="L3" s="29"/>
    </row>
    <row r="4" spans="1:12" s="7" customFormat="1" ht="100" customHeight="1" x14ac:dyDescent="0.2">
      <c r="A4" s="166">
        <v>1.2</v>
      </c>
      <c r="B4" s="148" t="s">
        <v>13</v>
      </c>
      <c r="C4" s="149" t="s">
        <v>337</v>
      </c>
      <c r="D4" s="146" t="s">
        <v>338</v>
      </c>
      <c r="E4" s="149" t="s">
        <v>14</v>
      </c>
      <c r="F4" s="149" t="s">
        <v>15</v>
      </c>
      <c r="G4" s="149" t="s">
        <v>16</v>
      </c>
      <c r="H4" s="149" t="s">
        <v>341</v>
      </c>
      <c r="I4" s="150" t="s">
        <v>17</v>
      </c>
      <c r="J4" s="161" t="s">
        <v>340</v>
      </c>
      <c r="K4" s="29"/>
      <c r="L4" s="29"/>
    </row>
    <row r="5" spans="1:12" s="7" customFormat="1" ht="100" customHeight="1" x14ac:dyDescent="0.2">
      <c r="A5" s="165">
        <v>1.3</v>
      </c>
      <c r="B5" s="144" t="s">
        <v>18</v>
      </c>
      <c r="C5" s="145" t="s">
        <v>337</v>
      </c>
      <c r="D5" s="151" t="s">
        <v>372</v>
      </c>
      <c r="E5" s="145" t="s">
        <v>19</v>
      </c>
      <c r="F5" s="145" t="s">
        <v>20</v>
      </c>
      <c r="G5" s="145" t="s">
        <v>21</v>
      </c>
      <c r="H5" s="145" t="s">
        <v>342</v>
      </c>
      <c r="I5" s="147" t="s">
        <v>22</v>
      </c>
      <c r="J5" s="160" t="s">
        <v>343</v>
      </c>
      <c r="K5" s="29"/>
      <c r="L5" s="29"/>
    </row>
    <row r="6" spans="1:12" s="7" customFormat="1" ht="100" customHeight="1" x14ac:dyDescent="0.2">
      <c r="A6" s="166">
        <v>1.4</v>
      </c>
      <c r="B6" s="148" t="s">
        <v>376</v>
      </c>
      <c r="C6" s="149" t="s">
        <v>337</v>
      </c>
      <c r="D6" s="151" t="s">
        <v>372</v>
      </c>
      <c r="E6" s="149" t="s">
        <v>23</v>
      </c>
      <c r="F6" s="149" t="s">
        <v>24</v>
      </c>
      <c r="G6" s="149" t="s">
        <v>25</v>
      </c>
      <c r="H6" s="149" t="s">
        <v>344</v>
      </c>
      <c r="I6" s="150" t="s">
        <v>26</v>
      </c>
      <c r="J6" s="161" t="s">
        <v>343</v>
      </c>
      <c r="K6" s="29"/>
      <c r="L6" s="29"/>
    </row>
    <row r="7" spans="1:12" s="7" customFormat="1" ht="100" customHeight="1" x14ac:dyDescent="0.2">
      <c r="A7" s="165">
        <v>1.5</v>
      </c>
      <c r="B7" s="144" t="s">
        <v>377</v>
      </c>
      <c r="C7" s="145" t="s">
        <v>337</v>
      </c>
      <c r="D7" s="151" t="s">
        <v>372</v>
      </c>
      <c r="E7" s="145" t="s">
        <v>23</v>
      </c>
      <c r="F7" s="145" t="s">
        <v>27</v>
      </c>
      <c r="G7" s="145" t="s">
        <v>28</v>
      </c>
      <c r="H7" s="145" t="s">
        <v>345</v>
      </c>
      <c r="I7" s="147" t="s">
        <v>29</v>
      </c>
      <c r="J7" s="162" t="s">
        <v>343</v>
      </c>
      <c r="K7" s="29"/>
      <c r="L7" s="29"/>
    </row>
    <row r="8" spans="1:12" s="7" customFormat="1" ht="100" customHeight="1" x14ac:dyDescent="0.2">
      <c r="A8" s="166">
        <v>2.1</v>
      </c>
      <c r="B8" s="148" t="s">
        <v>378</v>
      </c>
      <c r="C8" s="149" t="s">
        <v>346</v>
      </c>
      <c r="D8" s="151" t="s">
        <v>372</v>
      </c>
      <c r="E8" s="149" t="s">
        <v>30</v>
      </c>
      <c r="F8" s="149" t="s">
        <v>31</v>
      </c>
      <c r="G8" s="149" t="s">
        <v>32</v>
      </c>
      <c r="H8" s="149" t="s">
        <v>347</v>
      </c>
      <c r="I8" s="150" t="s">
        <v>33</v>
      </c>
      <c r="J8" s="161" t="s">
        <v>348</v>
      </c>
      <c r="K8" s="29"/>
      <c r="L8" s="29"/>
    </row>
    <row r="9" spans="1:12" s="7" customFormat="1" ht="100" customHeight="1" x14ac:dyDescent="0.2">
      <c r="A9" s="165">
        <v>2.2000000000000002</v>
      </c>
      <c r="B9" s="144" t="s">
        <v>416</v>
      </c>
      <c r="C9" s="145" t="s">
        <v>346</v>
      </c>
      <c r="D9" s="152" t="s">
        <v>349</v>
      </c>
      <c r="E9" s="145" t="s">
        <v>35</v>
      </c>
      <c r="F9" s="145" t="s">
        <v>36</v>
      </c>
      <c r="G9" s="145" t="s">
        <v>37</v>
      </c>
      <c r="H9" s="145" t="s">
        <v>350</v>
      </c>
      <c r="I9" s="147" t="s">
        <v>38</v>
      </c>
      <c r="J9" s="160" t="s">
        <v>340</v>
      </c>
      <c r="K9" s="29"/>
    </row>
    <row r="10" spans="1:12" s="7" customFormat="1" ht="100" customHeight="1" x14ac:dyDescent="0.2">
      <c r="A10" s="166">
        <v>2.2999999999999998</v>
      </c>
      <c r="B10" s="144" t="s">
        <v>380</v>
      </c>
      <c r="C10" s="149" t="s">
        <v>346</v>
      </c>
      <c r="D10" s="152" t="s">
        <v>349</v>
      </c>
      <c r="E10" s="149" t="s">
        <v>39</v>
      </c>
      <c r="F10" s="149" t="s">
        <v>447</v>
      </c>
      <c r="G10" s="149" t="s">
        <v>40</v>
      </c>
      <c r="H10" s="149" t="s">
        <v>351</v>
      </c>
      <c r="I10" s="150" t="s">
        <v>446</v>
      </c>
      <c r="J10" s="161" t="s">
        <v>340</v>
      </c>
      <c r="K10" s="29"/>
    </row>
    <row r="11" spans="1:12" s="7" customFormat="1" ht="100" customHeight="1" x14ac:dyDescent="0.2">
      <c r="A11" s="165">
        <v>2.4</v>
      </c>
      <c r="B11" s="144" t="s">
        <v>41</v>
      </c>
      <c r="C11" s="145" t="s">
        <v>346</v>
      </c>
      <c r="D11" s="151" t="s">
        <v>372</v>
      </c>
      <c r="E11" s="145" t="s">
        <v>352</v>
      </c>
      <c r="F11" s="145" t="s">
        <v>42</v>
      </c>
      <c r="G11" s="145" t="s">
        <v>43</v>
      </c>
      <c r="H11" s="145" t="s">
        <v>353</v>
      </c>
      <c r="I11" s="147" t="s">
        <v>354</v>
      </c>
      <c r="J11" s="160" t="s">
        <v>340</v>
      </c>
      <c r="K11" s="29"/>
    </row>
    <row r="12" spans="1:12" s="7" customFormat="1" ht="100" customHeight="1" x14ac:dyDescent="0.2">
      <c r="A12" s="166">
        <v>2.5</v>
      </c>
      <c r="B12" s="148" t="s">
        <v>44</v>
      </c>
      <c r="C12" s="149" t="s">
        <v>346</v>
      </c>
      <c r="D12" s="152" t="s">
        <v>349</v>
      </c>
      <c r="E12" s="149" t="s">
        <v>45</v>
      </c>
      <c r="F12" s="149" t="s">
        <v>46</v>
      </c>
      <c r="G12" s="149" t="s">
        <v>47</v>
      </c>
      <c r="H12" s="149" t="s">
        <v>355</v>
      </c>
      <c r="I12" s="150" t="s">
        <v>48</v>
      </c>
      <c r="J12" s="161" t="s">
        <v>348</v>
      </c>
      <c r="K12" s="29"/>
    </row>
    <row r="13" spans="1:12" s="7" customFormat="1" ht="100" customHeight="1" x14ac:dyDescent="0.2">
      <c r="A13" s="165">
        <v>2.6</v>
      </c>
      <c r="B13" s="144" t="s">
        <v>49</v>
      </c>
      <c r="C13" s="145" t="s">
        <v>346</v>
      </c>
      <c r="D13" s="152" t="s">
        <v>349</v>
      </c>
      <c r="E13" s="145" t="s">
        <v>19</v>
      </c>
      <c r="F13" s="145" t="s">
        <v>50</v>
      </c>
      <c r="G13" s="145" t="s">
        <v>51</v>
      </c>
      <c r="H13" s="145" t="s">
        <v>356</v>
      </c>
      <c r="I13" s="147" t="s">
        <v>52</v>
      </c>
      <c r="J13" s="160" t="s">
        <v>343</v>
      </c>
      <c r="K13" s="29"/>
    </row>
    <row r="14" spans="1:12" s="7" customFormat="1" ht="100" customHeight="1" x14ac:dyDescent="0.2">
      <c r="A14" s="166">
        <v>2.7</v>
      </c>
      <c r="B14" s="148" t="s">
        <v>53</v>
      </c>
      <c r="C14" s="149" t="s">
        <v>346</v>
      </c>
      <c r="D14" s="151" t="s">
        <v>372</v>
      </c>
      <c r="E14" s="149" t="s">
        <v>54</v>
      </c>
      <c r="F14" s="149" t="s">
        <v>55</v>
      </c>
      <c r="G14" s="149" t="s">
        <v>56</v>
      </c>
      <c r="H14" s="149" t="s">
        <v>357</v>
      </c>
      <c r="I14" s="150" t="s">
        <v>57</v>
      </c>
      <c r="J14" s="161" t="s">
        <v>343</v>
      </c>
      <c r="K14" s="29"/>
    </row>
    <row r="15" spans="1:12" s="7" customFormat="1" ht="100" customHeight="1" x14ac:dyDescent="0.2">
      <c r="A15" s="165">
        <v>2.8</v>
      </c>
      <c r="B15" s="144" t="s">
        <v>58</v>
      </c>
      <c r="C15" s="145" t="s">
        <v>346</v>
      </c>
      <c r="D15" s="151" t="s">
        <v>372</v>
      </c>
      <c r="E15" s="145" t="s">
        <v>328</v>
      </c>
      <c r="F15" s="145" t="s">
        <v>330</v>
      </c>
      <c r="G15" s="145" t="s">
        <v>331</v>
      </c>
      <c r="H15" s="145" t="s">
        <v>371</v>
      </c>
      <c r="I15" s="147" t="s">
        <v>428</v>
      </c>
      <c r="J15" s="160" t="s">
        <v>343</v>
      </c>
      <c r="K15" s="29"/>
    </row>
    <row r="16" spans="1:12" s="7" customFormat="1" ht="100" customHeight="1" x14ac:dyDescent="0.2">
      <c r="A16" s="166">
        <v>3.1</v>
      </c>
      <c r="B16" s="149" t="s">
        <v>381</v>
      </c>
      <c r="C16" s="149" t="s">
        <v>430</v>
      </c>
      <c r="D16" s="151" t="s">
        <v>372</v>
      </c>
      <c r="E16" s="149" t="s">
        <v>420</v>
      </c>
      <c r="F16" s="149" t="s">
        <v>419</v>
      </c>
      <c r="G16" s="149" t="s">
        <v>425</v>
      </c>
      <c r="H16" s="149" t="s">
        <v>426</v>
      </c>
      <c r="I16" s="150" t="s">
        <v>427</v>
      </c>
      <c r="J16" s="161" t="s">
        <v>348</v>
      </c>
      <c r="K16" s="29"/>
    </row>
    <row r="17" spans="1:11" s="7" customFormat="1" ht="100" customHeight="1" x14ac:dyDescent="0.2">
      <c r="A17" s="165">
        <v>4.0999999999999996</v>
      </c>
      <c r="B17" s="145" t="s">
        <v>417</v>
      </c>
      <c r="C17" s="145" t="s">
        <v>431</v>
      </c>
      <c r="D17" s="146" t="s">
        <v>338</v>
      </c>
      <c r="E17" s="145" t="s">
        <v>59</v>
      </c>
      <c r="F17" s="145" t="s">
        <v>421</v>
      </c>
      <c r="G17" s="145" t="s">
        <v>422</v>
      </c>
      <c r="H17" s="145" t="s">
        <v>423</v>
      </c>
      <c r="I17" s="147" t="s">
        <v>424</v>
      </c>
      <c r="J17" s="160" t="s">
        <v>340</v>
      </c>
      <c r="K17" s="29"/>
    </row>
    <row r="18" spans="1:11" s="7" customFormat="1" ht="100" customHeight="1" x14ac:dyDescent="0.2">
      <c r="A18" s="166">
        <v>5.0999999999999996</v>
      </c>
      <c r="B18" s="153" t="s">
        <v>64</v>
      </c>
      <c r="C18" s="154" t="s">
        <v>432</v>
      </c>
      <c r="D18" s="151" t="s">
        <v>372</v>
      </c>
      <c r="E18" s="154" t="s">
        <v>65</v>
      </c>
      <c r="F18" s="154" t="s">
        <v>66</v>
      </c>
      <c r="G18" s="154" t="s">
        <v>67</v>
      </c>
      <c r="H18" s="154" t="s">
        <v>358</v>
      </c>
      <c r="I18" s="155" t="s">
        <v>68</v>
      </c>
      <c r="J18" s="163" t="s">
        <v>343</v>
      </c>
      <c r="K18" s="29"/>
    </row>
    <row r="19" spans="1:11" s="7" customFormat="1" ht="100" customHeight="1" x14ac:dyDescent="0.2">
      <c r="A19" s="167" t="s">
        <v>418</v>
      </c>
      <c r="B19" s="145" t="s">
        <v>69</v>
      </c>
      <c r="C19" s="145" t="s">
        <v>429</v>
      </c>
      <c r="D19" s="151" t="s">
        <v>372</v>
      </c>
      <c r="E19" s="145" t="s">
        <v>70</v>
      </c>
      <c r="F19" s="145" t="s">
        <v>71</v>
      </c>
      <c r="G19" s="145" t="s">
        <v>72</v>
      </c>
      <c r="H19" s="145" t="s">
        <v>359</v>
      </c>
      <c r="I19" s="145" t="s">
        <v>73</v>
      </c>
      <c r="J19" s="164" t="s">
        <v>343</v>
      </c>
      <c r="K19" s="29"/>
    </row>
    <row r="20" spans="1:11" s="7" customFormat="1" ht="100" customHeight="1" x14ac:dyDescent="0.2">
      <c r="A20" s="168" t="s">
        <v>74</v>
      </c>
      <c r="B20" s="156" t="s">
        <v>75</v>
      </c>
      <c r="C20" s="156" t="s">
        <v>437</v>
      </c>
      <c r="D20" s="157" t="s">
        <v>349</v>
      </c>
      <c r="E20" s="156" t="s">
        <v>77</v>
      </c>
      <c r="F20" s="156" t="s">
        <v>78</v>
      </c>
      <c r="G20" s="156" t="s">
        <v>79</v>
      </c>
      <c r="H20" s="156" t="s">
        <v>360</v>
      </c>
      <c r="I20" s="158" t="s">
        <v>80</v>
      </c>
      <c r="J20" s="163" t="s">
        <v>340</v>
      </c>
      <c r="K20" s="29"/>
    </row>
    <row r="21" spans="1:11" s="7" customFormat="1" ht="100" customHeight="1" x14ac:dyDescent="0.2">
      <c r="A21" s="167" t="s">
        <v>81</v>
      </c>
      <c r="B21" s="145" t="s">
        <v>82</v>
      </c>
      <c r="C21" s="145" t="s">
        <v>437</v>
      </c>
      <c r="D21" s="159" t="s">
        <v>349</v>
      </c>
      <c r="E21" s="145" t="s">
        <v>83</v>
      </c>
      <c r="F21" s="145" t="s">
        <v>84</v>
      </c>
      <c r="G21" s="145" t="s">
        <v>85</v>
      </c>
      <c r="H21" s="145" t="s">
        <v>361</v>
      </c>
      <c r="I21" s="145" t="s">
        <v>86</v>
      </c>
      <c r="J21" s="164" t="s">
        <v>340</v>
      </c>
      <c r="K21" s="29"/>
    </row>
  </sheetData>
  <mergeCells count="1">
    <mergeCell ref="A1:J1"/>
  </mergeCells>
  <pageMargins left="1" right="1" top="1" bottom="1" header="0.25" footer="0.25"/>
  <pageSetup orientation="portrait"/>
  <headerFooter>
    <oddFooter>&amp;C&amp;"Helvetica Neue,Regular"&amp;12&amp;K000000&amp;P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customXml/itemProps2.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F48E296-90D9-4A92-A29D-759F46DCA7D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2026-04-30T14:05:38Z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