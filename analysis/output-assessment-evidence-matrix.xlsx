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filterPrivacy="1" defaultThemeVersion="166925"/>
  <xr:revisionPtr revIDLastSave="0" documentId="13_ncr:1_{A039D5C7-0EF7-2E42-B589-C6932AEA4D72}" xr6:coauthVersionLast="47" xr6:coauthVersionMax="47" xr10:uidLastSave="{00000000-0000-0000-0000-000000000000}"/>
  <bookViews>
    <workbookView xWindow="0" yWindow="0" windowWidth="38400" windowHeight="21600" activeTab="5" xr2:uid="{51658058-8315-A640-B733-1DFC39D6EEC8}"/>
  </bookViews>
  <sheets>
    <sheet name="README" sheetId="9" r:id="rId1"/>
    <sheet name="Summary" sheetId="2" r:id="rId2"/>
    <sheet name="Methodology" sheetId="3" r:id="rId3"/>
    <sheet name="Rating Criteria" sheetId="10" r:id="rId4"/>
    <sheet name="Evidence Matrix" sheetId="7" r:id="rId5"/>
    <sheet name="Output Assessment" sheetId="5" r:id="rId6"/>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<sst xmlns="http://schemas.openxmlformats.org/spreadsheetml/2006/main" count="693" uniqueCount="530">
  <si>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</si>
  <si>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</si>
  <si>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</si>
  <si>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</si>
  <si>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</si>
  <si>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</si>
  <si>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</si>
  <si>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</si>
  <si>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</si>
  <si>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</si>
  <si>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</si>
  <si>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</si>
  <si>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</si>
  <si>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</si>
  <si>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</si>
  <si>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</si>
  <si>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</si>
  <si>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</si>
  <si>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</si>
  <si>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</si>
  <si>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</si>
  <si>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</si>
  <si>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</si>
  <si>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</si>
  <si>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</si>
  <si>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</si>
  <si>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</si>
  <si>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</si>
  <si>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</si>
  <si>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</si>
  <si>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Not Documented</t>
  </si>
  <si>
    <t>Active surveillance (AusVaxSafety)</t>
  </si>
  <si>
    <t>Clinical studies and reports</t>
  </si>
  <si>
    <t>Environmental scanning</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</si>
  <si>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</si>
  <si>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</si>
  <si>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</si>
  <si>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</si>
  <si>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</si>
  <si>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</si>
  <si>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</si>
  <si>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</si>
  <si>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</si>
  <si>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</si>
  <si>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</si>
  <si>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</si>
  <si>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</si>
  <si>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</si>
  <si>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</si>
  <si>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</si>
  <si>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</si>
  <si>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</si>
  <si>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</si>
  <si>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</si>
  <si>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</si>
  <si>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</si>
  <si>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</si>
  <si>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</si>
  <si>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GOV.2</t>
  </si>
  <si>
    <t>Performance measurement</t>
  </si>
  <si>
    <t>FOI 3643, FOI 25-0166, OAIC MR22/00538 searches, Senate testimony Oct 2025, Surveillance Analysis (150+ reports)</t>
  </si>
  <si>
    <t>Assessment Evidence Matrix - Summary Dashboard</t>
  </si>
  <si>
    <t>OVERALL STATUS SUMMARY</t>
  </si>
  <si>
    <t>Count</t>
  </si>
  <si>
    <t>Percentage</t>
  </si>
  <si>
    <t>TOTAL</t>
  </si>
  <si>
    <t>STATUS BY OBJECTIVE</t>
  </si>
  <si>
    <t>Total</t>
  </si>
  <si>
    <t>RATING BY OBJECTIVE</t>
  </si>
  <si>
    <t>Avg Rating</t>
  </si>
  <si>
    <t>Min</t>
  </si>
  <si>
    <t>Max</t>
  </si>
  <si>
    <t>OVERALL</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</si>
  <si>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</si>
  <si>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</si>
  <si>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</si>
  <si>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</si>
  <si>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</si>
  <si>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</si>
  <si>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</si>
  <si>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</si>
  <si>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</si>
  <si>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</si>
  <si>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</si>
  <si>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</si>
  <si>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</si>
  <si>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</si>
  <si>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</si>
  <si>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</si>
  <si>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</si>
  <si>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</si>
  <si>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</si>
  <si>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</si>
  <si>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</si>
  <si>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</si>
  <si>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</si>
  <si>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</si>
  <si>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</si>
  <si>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</si>
  <si>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</si>
  <si>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</si>
  <si>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</si>
  <si>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</si>
  <si>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</si>
  <si>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</si>
  <si>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</si>
  <si>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</si>
  <si>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</si>
  <si>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</si>
  <si>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</si>
  <si>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</si>
  <si>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</si>
  <si>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</si>
  <si>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</si>
  <si>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</si>
  <si>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</si>
  <si>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</si>
  <si>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</si>
  <si>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</si>
  <si>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</si>
  <si>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</si>
  <si>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</si>
  <si>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</si>
  <si>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</si>
  <si>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</si>
  <si>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</si>
  <si>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</si>
  <si>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</si>
  <si>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</si>
  <si>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</si>
  <si>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</si>
  <si>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</si>
  <si>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</si>
  <si>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</si>
  <si>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</si>
  <si>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</si>
  <si>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</si>
  <si>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</si>
  <si>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</si>
  <si>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</si>
  <si>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</si>
  <si>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</si>
  <si>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</si>
  <si>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</si>
  <si>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</si>
  <si>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</si>
  <si>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</si>
  <si>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4. Senate Testimony Under Privilege</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</si>
  <si>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</si>
  <si>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</si>
  <si>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</si>
  <si>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</si>
  <si>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</si>
  <si>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</si>
  <si>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</si>
  <si>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</si>
  <si>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</si>
  <si>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</si>
  <si>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</si>
  <si>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</si>
  <si>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</si>
  <si>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</si>
  <si>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</si>
  <si>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</si>
  <si>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</si>
  <si>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</si>
  <si>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</si>
  <si>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</si>
  <si>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</si>
  <si>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</si>
  <si>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</si>
  <si>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</si>
  <si>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</si>
  <si>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</si>
  <si>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</si>
  <si>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</si>
  <si>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</si>
  <si>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</si>
  <si>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(1) Clear evidence of activity/outputs (data collected, processes occurred), BUT (2) Enhanced protocols/frameworks not documented, OR (3) Integration between systems not evidenced, OR (4) Cannot distinguish "enhanced" from routine processes</t>
  </si>
  <si>
    <t>✗</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</si>
  <si>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</si>
  <si>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</si>
  <si>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</si>
  <si>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</si>
  <si>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</si>
  <si>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</si>
  <si>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</si>
  <si>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</si>
  <si>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</si>
  <si>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</si>
  <si>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</si>
  <si>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</si>
  <si>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</si>
  <si>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</si>
  <si>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</si>
  <si>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</si>
  <si>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</si>
  <si>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</si>
  <si>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</si>
  <si>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</si>
  <si>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</si>
  <si>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</si>
  <si>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</si>
  <si>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</si>
  <si>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</si>
  <si>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</si>
  <si>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</si>
  <si>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</si>
  <si>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</si>
  <si>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</si>
  <si>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</si>
  <si>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</si>
  <si>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</si>
  <si>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</si>
  <si>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</si>
  <si>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</si>
  <si>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t>Published materials exist and are accessible (website content, reports, media releases)</t>
  </si>
  <si>
    <t>Materials exist but some gaps in systematic delivery or framework</t>
  </si>
  <si>
    <t>No public communications or materials found</t>
  </si>
  <si>
    <t>Deliverable exists, publicly available, fit for purpose</t>
  </si>
  <si>
    <t>Deliverable exists but limitations/gaps identified</t>
  </si>
  <si>
    <t>Deliverable does not exist or not accessible</t>
  </si>
  <si>
    <t>Documented protocols/SOPs/frameworks exist showing systematic approach distinct from routine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</si>
  <si>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</si>
  <si>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</si>
  <si>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</si>
  <si>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</si>
  <si>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</si>
  <si>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Falsifiability Principle</t>
  </si>
  <si>
    <t>All ratings are falsifiable through document production:</t>
  </si>
  <si>
    <t>Rating Changes Possible:</t>
  </si>
  <si>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</si>
  <si>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</si>
  <si>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</si>
  <si>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</si>
  <si>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</si>
  <si>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</si>
  <si>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</si>
  <si>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</si>
  <si>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</si>
  <si>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</si>
  <si>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</si>
  <si>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</si>
  <si>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</si>
  <si>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</si>
  <si>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</si>
  <si>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</si>
  <si>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</si>
  <si>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</si>
  <si>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</si>
  <si>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</si>
  <si>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Example 3: Not Documented (✗)</t>
  </si>
  <si>
    <t>Output GOV.1 - Implementation oversight</t>
  </si>
  <si>
    <t>Evidence Searched:</t>
  </si>
  <si>
    <t>FOI 3643, FOI 25-0166</t>
  </si>
  <si>
    <t>Findings:</t>
  </si>
  <si>
    <t>No oversight committees documented</t>
  </si>
  <si>
    <t>No progress reports identified</t>
  </si>
  <si>
    <t>No performance metrics tracking against Plan outputs</t>
  </si>
  <si>
    <t>FOI 3643, FOI 4029-03, FOI 4029-05, OAIC MR22/00538 searches, ACV meeting statements</t>
  </si>
  <si>
    <t>Advisory Committee on Vaccines (ACV) existed and met regularly; FOI 4029-03 shows ACV received Strategy 2.3 presentation (Sep 2021); ACV meeting statements published; FOI 4029-05 shows Vaccine Safety Investigation Group (VSIG) operational during child death cases</t>
  </si>
  <si>
    <t>Plan Objective</t>
  </si>
  <si>
    <t>Evidence Sources Checked</t>
  </si>
  <si>
    <t>What Was Found</t>
  </si>
  <si>
    <t>Rating Justification</t>
  </si>
  <si>
    <t>Severity</t>
  </si>
  <si>
    <t>Timely collection and management of AEFI (Objective 1)</t>
  </si>
  <si>
    <t>✓ Fully Implemented</t>
  </si>
  <si>
    <t>⭐⭐⭐⭐⭐</t>
  </si>
  <si>
    <t>⭐⭐⭐</t>
  </si>
  <si>
    <t>Proactive signal identification and assessment (Objective 2)</t>
  </si>
  <si>
    <t>⭐⭐⭐⭐</t>
  </si>
  <si>
    <t>✗ Not Documented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</si>
  <si>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</si>
  <si>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</si>
  <si>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</si>
  <si>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</si>
  <si>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</si>
  <si>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</si>
  <si>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</si>
  <si>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</si>
  <si>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</si>
  <si>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</si>
  <si>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</si>
  <si>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</si>
  <si>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</si>
  <si>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</si>
  <si>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</si>
  <si>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</si>
  <si>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</si>
  <si>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</si>
  <si>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</si>
  <si>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</si>
  <si>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</si>
  <si>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</si>
  <si>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</si>
  <si>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</si>
  <si>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</si>
  <si>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</si>
  <si>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</si>
  <si>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</si>
  <si>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</si>
  <si>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</si>
  <si>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</si>
  <si>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</si>
  <si>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</si>
  <si>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</si>
  <si>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</si>
  <si>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</si>
  <si>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</si>
  <si>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</si>
  <si>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</si>
  <si>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</si>
  <si>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</si>
  <si>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</si>
  <si>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</si>
  <si>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</si>
  <si>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</si>
  <si>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</si>
  <si>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</si>
  <si>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</si>
  <si>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</si>
  <si>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</si>
  <si>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</si>
  <si>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</si>
  <si>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None – extensive public communication documented.
</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</si>
  <si>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</si>
  <si>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</si>
  <si>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</si>
  <si>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</si>
  <si>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</si>
  <si>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</si>
  <si>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t>International Collaborations</t>
  </si>
  <si>
    <t>⭐</t>
  </si>
  <si>
    <t>TGA COVID-19 Vaccine Safety Monitoring Plan</t>
  </si>
  <si>
    <t>Output Assessment Evidence Matrix</t>
  </si>
  <si>
    <t>Variables</t>
  </si>
  <si>
    <t>Variable</t>
  </si>
  <si>
    <t>Plan output identifier (1.1–GOV.2)</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</si>
  <si>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</si>
  <si>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</si>
  <si>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</si>
  <si>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</si>
  <si>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</si>
  <si>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</si>
  <si>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</si>
  <si>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</si>
  <si>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</si>
  <si>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</si>
  <si>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</si>
  <si>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</si>
  <si>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</si>
  <si>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</si>
  <si>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</si>
  <si>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</si>
  <si>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</si>
  <si>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</si>
  <si>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</si>
  <si>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</si>
  <si>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</si>
  <si>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</si>
  <si>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</si>
  <si>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</si>
  <si>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</si>
  <si>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</si>
  <si>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</si>
  <si>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</si>
  <si>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</si>
  <si>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</si>
  <si>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</si>
  <si>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</si>
  <si>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</si>
  <si>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</si>
  <si>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</si>
  <si>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</si>
  <si>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</si>
  <si>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</si>
  <si>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Consolidate timely information sharing, communication and collaboration with international stakeholders on COVID-19 vaccine safety activities and issues. (Objective 5)</t>
  </si>
  <si>
    <t>Official statements by TGA senior officials made to Senate committees constitute authoritative evidence of implementation status</t>
  </si>
  <si>
    <t>Highest - official testimony provided in parliamentary proceedings</t>
  </si>
  <si>
    <t>Summary Finding</t>
  </si>
  <si>
    <t>Governance (ISO 19011:2018 cl 5.5.2 and cl 5.2)</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</si>
  <si>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</si>
  <si>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</si>
  <si>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</si>
  <si>
    <t>Output 1.4: Data processing occurred (140K+ reports) but no evidence this was "enhanced" preparation vs routine DAEN capabilities. Activity documented but enhancement not evidenced.</t>
  </si>
  <si>
    <t>Severity Scoring Within "Partially Implemented" (Ratings 3–4)</t>
  </si>
  <si>
    <t>Grading nonconformities on a quantitative scale (here, 1–5) based on organisational context and risk is expressly contemplated by ISO 19011:2018, clause 6.4.8: "Nonconformities can be graded depending on the context of the organization and its risks. This grading can be quantitative (e.g. 1 to 5) and qualitative (e.g. minor, major)."</t>
  </si>
  <si>
    <t>Label</t>
  </si>
  <si>
    <t>Codebook Definition</t>
  </si>
  <si>
    <t>High</t>
  </si>
  <si>
    <t>Significant gap materially affecting a core monitoring objective.</t>
  </si>
  <si>
    <t>Moderate</t>
  </si>
  <si>
    <t>Partial gap with potential impact on a monitoring objective or pharmacovigilance output.</t>
  </si>
  <si>
    <t>This distinction is applied consistently across the Evidence Matrix and Output Assessment sheets, and is falsifiable in the same way as the primary ratings (see Falsifiability Principle below): if TGA produces documentation closing a specific gap, the severity score is revised accordingly.</t>
  </si>
  <si>
    <t>Communication Outputs (1.1, 3.1)</t>
  </si>
  <si>
    <t>Deliverable Outputs (1.2 Forms)</t>
  </si>
  <si>
    <t>Process/Protocol Outputs (2.2, 2.3, 2.5, 2.6)</t>
  </si>
  <si>
    <t>Integration/Coordination Outputs (2.4, 4.1, 5.1. 5.2)</t>
  </si>
  <si>
    <t>Governance Outputs (GOV.1, GOV.2)
(ISO 19011:2018 cl 5.5.2 and cl 5.2)</t>
  </si>
  <si>
    <t>Fully → Partially: If significant documentation gaps subsequently identified</t>
  </si>
  <si>
    <t>Partially → Fully: If TGA produces comprehensive framework documentation</t>
  </si>
  <si>
    <t>Not Documented → Partially/Fully: If TGA produces previously undisclosed documentation through FOI, OAIC direction, or public release</t>
  </si>
  <si>
    <t>Why Fully: Output 1.1 is about public communication and reporting pathways (not internal processes). Website content exists, advertising documented, weekly reports published. This is COMMUNICATION OUTPUT fully delivered.</t>
  </si>
  <si>
    <t>Rating: ✓ FULLY IMPLEMENTED</t>
  </si>
  <si>
    <t>Rating: ◐ PARTIALLY IMPLEMENTED</t>
  </si>
  <si>
    <t>Rating: ✗ NOT DOCUMENTED</t>
  </si>
  <si>
    <t>Methodology: ISO 19011:2018 (evidence-based approach), ANAO Performance Audit Standards, Commonwealth accountability frameworks (PGPA Act s37-39, Archives Act 1983)</t>
  </si>
  <si>
    <t>Complete Audit Documentation: https://github.com/paulrekaris/TGA-COVID19-Vaccine-Safety-Monitoring-Audit</t>
  </si>
  <si>
    <t>Per ISO 19011:2018 Clause 6.4.9, audit conclusions are based on evidence made available to auditor within defined scope, not hypothetical evidence that might exist elsewhere</t>
  </si>
  <si>
    <t>Under Commonwealth accountability frameworks (PGPA Act 2013 s37, Archives Act 1983, FOI Act 1982), the burden rests with Commonwealth entities to demonstrate performance through documentation, not with oversight bodies or citizens to prove documentation doesn't exist.</t>
  </si>
  <si>
    <t>Senate Community Affairs Legislation Committee, Supplementary Budget Estimates 2025–26, Committee Hansard, 9 October 2025</t>
  </si>
  <si>
    <t>FOI 3643, FOI 25-0166, FOI-3110 OAIC MR22/00538 searches, AusVaxSafety public reports, TGA weekly reports</t>
  </si>
  <si>
    <t>FOI 3643, FOI 25-0166, FOI 26-3110 (AusVaxSafety Annual Report 2022), OAIC MR22/00538 searches, FOI 5082, AusVaxSafety public reports, TGA weekly reports</t>
  </si>
  <si>
    <t>FOI 5082 (Document 5), FOI 3643, FOI 25-0166, OAIC MR22/00538 searches</t>
  </si>
  <si>
    <t>FOI 5082, PDF pp.87-88, 211; Department submission to the OAIC, 20 September 2024, Attachment C (search checklist)</t>
  </si>
  <si>
    <t>FOI 5082, PDF pp.87-88, 211; Department submission to the OAIC, 20 September 2024, Attachment B (Table 3) and Attachment C</t>
  </si>
  <si>
    <t>FOI 3643, FOI 25-0166, FOI 5082, OAIC MR22/00538 searches</t>
  </si>
  <si>
    <t>FOI 5082, PDF pp.87, 108, 199; OAIC Decision [2025] AICmr 54 (documents relating to implementation of the Plan could not be found or do not exist; not specific to this output); OAIC MR22/00538 submission, 20 September 2024, Attachments B and C</t>
  </si>
  <si>
    <t>Cannot verify completeness of the Department’s searches beyond what it reported to the OAIC</t>
  </si>
  <si>
    <t>Reliant on the Department’s reports of sample searches; not independently verified</t>
  </si>
  <si>
    <t>No documentation found in the Department’s reported sample searches or FOI releases; no evidence of the output’s process or protocol identified</t>
  </si>
  <si>
    <t>(1) The Department’s reported sample searches found no relevant documentation, AND (2) FOI processes produced no evidence, AND (3) No references in public reports/testimony</t>
  </si>
  <si>
    <t>Output 1.1 (communication) = deliverable (reports exist) = Fully. Output 2.5 (processes for receiving clinical study reports) = process (no process documented) = Not Documented</t>
  </si>
  <si>
    <t>No protocols/frameworks found in FOI releases or the Department’s reported searches</t>
  </si>
  <si>
    <t>No governance documentation against the Plan</t>
  </si>
  <si>
    <t>Department sample searches reported to the OAIC (MR22/00538; TRIM and Promap)</t>
  </si>
  <si>
    <t>Department sample searches: no governance documentation in scope</t>
  </si>
  <si>
    <t>Distinguishes between operational delivery (which clearly happened: 140K reports, 6.8M surveys, 150 signals) and systematic implementation of Plan's enhanced framework (which cannot be verified through documentation)</t>
  </si>
  <si>
    <t>Last Updated: 13 October 2026</t>
  </si>
  <si>
    <t>Output 2.2 (investigation protocols); Output 2.3 (cumulative review and sequential analysis methods); Output 2.4 (named commitment to “collaborate with AusVaxSafety”); Output 2.1 (commitment to establish expected/background rates); Output 3.1 (regulatory-action integration).</t>
  </si>
  <si>
    <t>Outputs 1.3–1.5 (data-sharing and escalation processes); Output 2.6 (environmental scanning); Outputs 2.7–2.8 (engagement documentation); Outputs 5.1–5.2 (collaboration frameworks).</t>
  </si>
  <si>
    <t>FOI 3643, FOI 25-0166, Department sample searches reported to the OAIC (MR22/00538), Senate testimony Oct 2025</t>
  </si>
  <si>
    <t>Senate Hansard 9 Oct 2025; FOI 3643 Kay email 23 Feb 2022 ('no implementation report... entering phase of reviewing'); Surveillance Analysis (zero Plan references across 150+ reports); Department sample searches identified no plan tracking</t>
  </si>
  <si>
    <t>No oversight committees documented; no progress reports identified; no performance metrics against the Plan’s outputs identified; no Plan-level governance identified</t>
  </si>
  <si>
    <t>No performance metrics against the Plan’s outputs identified; no tracking of the Plan’s 19 outputs identified; no KPIs identified; no Plan framework references identified in the 150+ weekly reports reviewed; no assessment at programme cessation (Nov 2023) identified</t>
  </si>
  <si>
    <t>Substantial activity occurred demonstrating operational delivery, but systematic protocols, integration frameworks, or governance documentation not evidenced. ◐ records that baseline process documentation exists; it does not show enhancement beyond routine pharmacovigilance.</t>
  </si>
  <si>
    <t>FOI 5082 (Documents 5 and 14), FOI 3643, FOI 25-0166, Department sample searches reported to the OAIC (MR22/00538)</t>
  </si>
  <si>
    <t>FOI 5082, PDF pp.84 and 211-213; Department submission, 20 Sept 2024, Attachment A Table 1; OAIC Decision AICmr 54; Senate Hansard 9 Oct 2025</t>
  </si>
  <si>
    <t>FOI 5082 (Documents 2, 3, 5, 11, 12), FOI 4029-03, FOI 5275, Department sample searches reported to the OAIC (MR22/00538)</t>
  </si>
  <si>
    <t>FOI 5082, PDF pp.35-37, 41, 42, 84-87, 139, 188-196, 204-205; Department submission, 20 Sept 2024, Attachment A Table 1, item 2 (p.8); FOI 4029-03; FOI 5275</t>
  </si>
  <si>
    <t>FOI 5082 (Documents 2, 3, 5, 11 and 12), FOI 4029-03, FOI 5275, Department sample searches reported to the OAIC (MR22/00538)</t>
  </si>
  <si>
    <t>FOI 5082, PDF pp.35-37, 41, 42, 84-87, 139, 188-196, 204-205; FOI 4029-03; FOI 5275, Department submission, 20 Sept 2024, Attachment A Table 1, item 2 (p.8)</t>
  </si>
  <si>
    <t>Output 1.1: Enhanced AEFI reporting information published on TGA website + 150+ safety reports published. Output 1.2: Updated AEFI forms with COVID-19 fields publicly available. Output 4.1: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</si>
  <si>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2.1: AESI list in use and background rate sources identified, but no documented expected rates or results.</t>
  </si>
  <si>
    <t>FOI 5082, FOI 4029-03, FOI 3643, FOI 25-0166, Department sample searches reported to the OAIC (MR22/00538)</t>
  </si>
  <si>
    <t>FOI 5082, PDF pp.36, 86 and 190-191; FOI 4029-03 (ACV presentation, Sep 2021); Surveillance Analysis (expected rates used without methodology)</t>
  </si>
  <si>
    <t>FOI 5082, FOI 3643, FOI 4029-03, Department sample searches reported to the OAIC (MR22/00538)</t>
  </si>
  <si>
    <t>No documented bridge between 6.8M surveys and 150 TGA signals</t>
  </si>
  <si>
    <r>
      <t>Last Updated:</t>
    </r>
    <r>
      <rPr>
        <sz val="11"/>
        <color theme="1"/>
        <rFont val="Calibri"/>
        <family val="2"/>
        <scheme val="minor"/>
      </rPr>
      <t xml:space="preserve"> 1</t>
    </r>
    <r>
      <rPr>
        <sz val="11"/>
        <color theme="1"/>
        <rFont val="Calibri (Body)"/>
      </rPr>
      <t>3 October 2026</t>
    </r>
  </si>
  <si>
    <t>Sample searches (TRIM and Promap) reported to the OAIC under statutory direction (September 2024); 2,218+ pages estimated as relevant to Plan objectives</t>
  </si>
  <si>
    <t>Moderate - Department-reported, not independently verified</t>
  </si>
  <si>
    <t>Samples only; email, devices and hardcopy not searched; most terms did not target individual outputs; two tables differ; submission argues burden</t>
  </si>
  <si>
    <t>High - independent third-party review of related matters. AICmr 54 supports only that implementation documents could not be found or do not exist.</t>
  </si>
  <si>
    <t>TGA’s reported searches were made in good faith</t>
  </si>
  <si>
    <t>September 2024 sample searches under OAIC statutory direction (TRIM and Promap) identified no documents evidencing implementation of the Plan: TGA’s own account, not independently verified.</t>
  </si>
  <si>
    <t>3. TGA-Reported Searches</t>
  </si>
  <si>
    <t xml:space="preserve">Ratings Basis </t>
  </si>
  <si>
    <t>Version v1.9.6   ·  October 2026   ·   Paul Rekaris   ·   ORCID: orcid.org/0009-0000-1338-9578</t>
  </si>
  <si>
    <t>Ratings describe the audit evidence available under ISO 19011:2018 (clause 3.9). ✓ means verifiable records of delivery; ◐ means process documentation with limited or no records of results; ✗ means no relevant evidence was located. No rating establishes that an output was or was not performed.</t>
  </si>
  <si>
    <t>Activity evidence exists but protocols/frameworks only partly documented</t>
  </si>
  <si>
    <t>TGA’s reported search results are an accurate account of what implementation documentation exists</t>
  </si>
  <si>
    <t>List of AESI (Adverse Events of Special Interest) was used; TGA weekly reports reference monitoring specific conditions. FOI 5082 identifies background rate sources: vac4eu.org in the 19 July 2021 analysis plan (p.36), an NCIRS background rate report in the working draft framework (p.86), and a repository of background rates for COVID-19 AESIs in the observed-versus-expected work instruction (pp.190-191)</t>
  </si>
  <si>
    <t>Background rate sources are named, but no expected or background rates calculated or applied to Australian COVID-19 data are documented, and the selection and use of rates for each AESI are not documented. FOI 4029-03 shows PRR/MaxSPRT capacity (Sep 2021) but public reports lack statistical methodology outputs</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</si>
  <si>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OAIC-directed searches located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</si>
  <si>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signals were investigated. No evidence of how capacity was assessed or resourced, although Document 14 acknowledges limited staff and rising report volumes</t>
  </si>
  <si>
    <t>FOI 5082 documents COVID-specific cumulative review methods: a 19 July 2021 sequential analysis plan using MaxSPRT with AIR dose data by age, sex, dose and brand (pp.35-37); weekly PRR and near real-time AEMS and AIR updates advised to the ACV (p.41); a 24 August 2021 internal presentation citing Strategy 2.3 and its four outputs (p.42); a weekly cumulative review of AEFI counts and rates (p.85); an observed-versus-expected work instruction dated 17 September 2022 (pp.188-196); and calculator instructions that draw dose data by age from the COVID-19 Vaccine Surveillance Platform (pp.204-205). FOI 4029-03 shows methods (PRR, MaxSPRT, AIR denominators) presented to the ACV in September 2021, with no public outputs. FOI 5275: the TGA does not hold one requested cancer incidence data set, which output 2.3 does not name, so this shows a data gap, not whether the calculation was performed</t>
  </si>
  <si>
    <t>No MaxSPRT or routine cumulative review outputs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</si>
  <si>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AusVaxSafety infrastructure operated effectively: 6,887,520 COVID-19 vaccine safety surveys completed; 62,000+ medical-attention reports documented; data appears in TGA weekly reports. FOI 26-3110 additionally documents fortnightly COVID-19 vaccine signal detection, sharing of analysis reports with Health and TGA, and specific signals notified to and discussed with the TGA Pharmacovigilance Branch</t>
  </si>
  <si>
    <t>No documented coordination protocols between TGA and AusVaxSafety; no integration methodology found; OAIC searches did not use “AusVaxSafety” as a search term despite the Output 2.4 commitment; no documented pathway demonstrating how AusVaxSafety surveillance findings informed TGA signal detection, prioritisation or investigation</t>
  </si>
  <si>
    <t>No documented processes for receiving or reviewing clinical studies/reports from sponsors; no evidence of enhanced review protocols for COVID vaccine sponsor submissions; the only COVID-specific references are placeholders marked “tbc”</t>
  </si>
  <si>
    <t>FOI 5082 (PDF p.87) lists “Clinical study reports” and “PSUR” as “tbc”. No COVID-specific process for receiving or reviewing sponsor-submitted clinical study reports or Safety Summary Reports was located. None of the eight OAIC-directed search terms targeted these documents</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</si>
  <si>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None of the eight OAIC-directed search terms targeted environmental scanning</t>
  </si>
  <si>
    <t>The sources are listed as “routine scanning” in a working draft; the cited work instruction predates COVID-19 and was not released. No evidence of what was strengthened, of scanning outputs, or of how scanned information led to signal action</t>
  </si>
  <si>
    <t>Senate testimony (9 Oct 2025); Department sample searches reported to the OAIC (MR22/00538)</t>
  </si>
  <si>
    <t>FOI 5082, PDF pp.84 and 211-213; Department submission, 20 Sept 2024, Attachment A Table 1, item 2 (p.8)</t>
  </si>
  <si>
    <t>FOI 3643, FOI 25-0166, OAIC MR22/00538 searches, Senate Community Affairs Legislation Committee, Supplementary Budget Estimates 2025–26, Committee Hansard, 9 October 2025</t>
  </si>
  <si>
    <t>The September 2024 Table 3 searches under OAIC statutory direction, including a term returning 531+ TRIM containers, found zero documents in scope — TGA’s own assessment of what implementation documentation exists</t>
  </si>
  <si>
    <t>Output 1.1 is about public communication and reporting pathways (not internal processes). Website content exists, advertising documented, weekly reports published. This is COMMUNICATION OUTPUT fully delivered</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</si>
  <si>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</si>
  <si>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</si>
  <si>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</si>
  <si>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</si>
  <si>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AESI list existed and background rate sources are named (FOI 5082), but the Plan committed to understanding safety profiles including expected and background rates. No calculated rates or results were located. FOI 4029-03 shows capacity, but outputs were not published</t>
  </si>
  <si>
    <t>FOI 5082 shows a COVID-specific escalation process in a working draft framework (D20-3725525, PDF p.84): all COVID cases go initially to the SIU, with a COVID-19 AESI list and case definitions. A Vaccine STRS work instruction for assessing individual AEFI reports against VSIG criteria (Document 14, version 2.0, PDF pp.211-213) sets a separate COVID-19 pathway: serious and fatal reports go from AEMDS to the Principal Medical Advisors before any referral to Vaccine STRS. The Department’s sample searches reported to the OAIC identified no further COVID-specific investigation protocols. The TGA described monitoring as ‘day-to-day processes’ (Senate, 9 Oct 2025)</t>
  </si>
  <si>
    <t>The framework is a working draft, and the escalation process document it cites was not released. Document 14 is undated in the pages reviewed and cites a 2023 TRIM reference, so it may post-date the roll-out. No COVID-specific methodology for how the signals were investigated. No evidence of how capacity was assessed or resourced, although Document 14 acknowledges limited staff and rising report volumes</t>
  </si>
  <si>
    <t>Plan committed to “specific protocols for investigating COVID-19 AEFI reports” (p.8). FOI 5082 shows COVID-specific elements: a working draft escalation framework (p.84) and a work instruction with a separate COVID-19 referral pathway (pp.211-213), so the ✗ criterion that FOI produced no evidence is not met. Neither is a finished, dated, COVID-specific protocol from the roll-out period, and the Department’s sample searches identified none. Rated ◐ because the protocols governing the investigation activity are only partly documented</t>
  </si>
  <si>
    <t>No cumulative review outputs, results or reports released. No documented signal-to-action trail (CIOMS-style). Distribution data (output 1) is covered only by general guidance (p.139). Some elements are described as development goals (pp.86-87) in a working draft framework (p.84). The observed-versus-expected work instruction is v1.0, issued 17 September 2022, and the 2021 analysis plan is a plan, not a record of use. The two worked O/E analyses cited at p.196 (GBS with the AstraZeneca vaccine; myocarditis and pericarditis) and the process documents cited at p.85 were not released. The documents do not distinguish enhanced review from routine pharmacovigilance</t>
  </si>
  <si>
    <t>FOI 5082 documents COVID-specific cumulative review methods (analysis plan, 19 July 2021; Strategy 2.3 cited at p.42; observed-versus-expected work instruction, 17 September 2022), so the ✗ criterion that FOI produced no evidence is not met. Rated ◐ because no outputs, results or signal-to-action trail are evidenced and the documents do not distinguish enhanced review from routine pharmacovigilance. FOI 5275 shows a gap in one requested data set only</t>
  </si>
  <si>
    <t>AusVaxSafety infrastructure operated effectively, but no documented integration methodology or systematic coordination mechanism was identified showing how AusVaxSafety active-surveillance information was used to coordinate TGA safety signal detection and investigation. TGA’s September 2024 OAIC-directed searches did not use “AusVaxSafety” as a search term despite the Output 2.4 commitment</t>
  </si>
  <si>
    <t>Massive active-surveillance activity (6.8M surveys) demonstrates AusVaxSafety delivery, with evidence of signal detection and notification/discussion of some signals with TGA. BUT Plan committed TGA to “collaborate with AusVaxSafety” to coordinate safety signal detection and investigation. No documented coordination protocols or systematic audit trail showing how AusVaxSafety surveillance findings informed TGA signal detection and investigation were identified</t>
  </si>
  <si>
    <t>AusVaxSafety 2023 Annual Report (6.8M surveys); TGA FOI 26-3110 (2022 Annual Report: signal detection and notification/discussion with TGA); Surveillance Analysis (no systematic integration documented); OAIC MR22/00538 (did not search “AusVaxSafety”); Phillips et al. 2021 (complementary/parallel surveillance systems)</t>
  </si>
  <si>
    <t>The Plan committed to strengthen processes for receiving new safety information from clinical studies and Safety Summary Reports. FOI 5082 records clinical study reports and PSURs as “tbc”, and no process was located. Rated ✗ because no process was documented; the “tbc” entries show the item was considered</t>
  </si>
  <si>
    <t>FOI 5082 (PDF pp.87-88, working draft COVID-19 signal detection framework) lists environmental scanning sources matching the Plan’s list: regulator alerts (MHRA, FDA, EMA), overseas AEFI reports, WHO VigiBase, sponsor significant safety issue notifications, ICMRA signals, the IRRS library (Medline, EMBASE), and media and social-media scanning. It cites an SIU environmental scanning work instruction (D19-5209870) and flow chart (D18-10434494). The OAIC-directed searches located no further documents</t>
  </si>
  <si>
    <t>The Plan committed to strengthen environmental scanning and confirm monitoring processes for the listed sources. FOI 5082 documents the sources and processes, so the ✗ criterion that FOI produced no evidence is not met. Rated ◐ because the documents do not distinguish enhanced scanning from routine, and no outputs are evidenced</t>
  </si>
  <si>
    <t>International engagement occurred (ICMRA co-chair documented) but SYSTEMATIC PROCESSES for information sharing not documented. Plan committed to processes - these not evidenced. Activity happened but framework not documented</t>
  </si>
  <si>
    <t>Surveillance Analysis (148 signals; 57 regulatory actions);  Senate testimony (“day-to-day processes”); FOI 3643 and OAIC searches (no rapid response protocols)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</si>
  <si>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</si>
  <si>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 xml:space="preserve">150+ weekly/fortnightly safety reports published March 2021–November 2023; TGA media releases on regulatory actions; public website content; consumer information materials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</si>
  <si>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</si>
  <si>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</si>
  <si>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</si>
  <si>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No oversight committees documented; no progress reports identified; no performance metrics tracking against Plan outputs; no evidence of Plan-level governance</t>
  </si>
  <si>
    <t>No performance metrics against the Plan’s outputs identified; no tracking of 19 outputs; no KPIs documented; 150+ weekly reports contain zero Plan framework references; no assessment at programme cessation (Nov 2023)</t>
  </si>
  <si>
    <t>Commonwealth PGPA Act s37 requires agencies explain performance. Plan specified 19 outputs requiring tracking. No performance measurement against the Plan’s outputs was identified across 33 months: no tracking, no metrics, no assessment. The programme ceased (Nov 2023) with no evaluation against the Plan identified</t>
  </si>
  <si>
    <t>Severity rating of the documentation position (1 = Minimal, 5 = Critical; higher means a more significant gap)</t>
  </si>
  <si>
    <t>Severity Rating (1 - 5)</t>
  </si>
  <si>
    <t>Output 2.5: No COVID-specific process for receiving clinical study reports or Safety Summary Reports (listed as ‘tbc’ in FOI 5082). Output GOV.1: No oversight committee documentation; Senate testimony indicates monitoring was not systematically tracked. Output GOV.2: No tracking against the Plan’s outputs.</t>
  </si>
  <si>
    <t>Senate testimony: TGA described monitoring as 'day-to-day processes'; no single evaluation report benchmarking TGA against the Plan</t>
  </si>
  <si>
    <t>Why Not Documented: Plan required governance/oversight mechanisms for 19 outputs. The Department’s sample searches identified no governance documentation in scope. Senate testimony: no single evaluation report against the Plan; monitoring described as 'day-to-day processes'.</t>
  </si>
  <si>
    <t>Senate Hansard 9 Oct 2025 ('day-to-day processes'); OAIC MR22/00538 (Department sample searches: no governance documentation in scope); FOI 3643 (Feb 2022: 'no implementation report exists')</t>
  </si>
  <si>
    <t>Senate Hansard 9 Oct 2025 ('day-to-day processes'); OAIC Decision AICmr 54; OAIC MR22/00538 (Department sample searches: no governance documentation in scope); FOI 3643 (Feb 2022: 'no implementation report exists')</t>
  </si>
  <si>
    <t>Plan required governance and oversight mechanisms for its 19 outputs. The Department’s sample searches (TRIM and Promap) identified no governance documentation in scope. Senate testimony (9 October 2025): monitoring described as 'day-to-day processes', indicating it was not systematically tracked against the Plan. FOI 5082 (p.90) refers to monitoring signal-investigation implementation through a PSAB Activities Register, but no tracking against the Plan’s outputs was identified</t>
  </si>
  <si>
    <t>Senate testimony indicates absence; FOI 3643 (Feb 2022) Kay email: 'no implementation report'; Surveillance Analysis: 150+ reports contain zero Plan references or output tracking</t>
  </si>
  <si>
    <t>Independent documentary audit of Australia's COVID-19 Vaccine Safety Monitoring Plan (February 2021). 68.4 million doses administered under provisional approval. Four-year FOI investigation found Cabinet-endorsed enhanced monitoring unverifiable as a distinct, tracked framework. The OAIC decision found the requested documents could not be found or do not exist.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</si>
  <si>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Last Updated: 12 October 2026</t>
  </si>
  <si>
    <t>Official statements by TGA senior officials under parliamentary privilege (9 October 2025), statements regarding Plan implementation and tracking</t>
  </si>
  <si>
    <t>Last Updated: 19 October 2026</t>
  </si>
  <si>
    <t>FOI 4029-03 (ACV received Strategy 2.3 Sep 2021); FOI 4029-05 (VSIG operational, child deaths not referred); ACV Meeting Statements (published); Senate testimony (TGA "burn out" claim); OAIC MR22/00538 (the TGA said it was “unable to meaningfully interpret” the request as it applied to Objective 5 and ran no sample search)</t>
  </si>
  <si>
    <r>
      <t>FOI 26-3110 (AusVaxSafety Annual Report 2022)</t>
    </r>
    <r>
      <rPr>
        <sz val="12"/>
        <color theme="1"/>
        <rFont val="Calibri"/>
        <family val="2"/>
        <scheme val="minor"/>
      </rPr>
      <t xml:space="preserve"> documents fortnightly COVID-19 vaccine signal detection, sharing of analysis reports with Health and TGA, and signals notified to and discussed with the TGA Pharmacovigilance Branch.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r>
  </si>
  <si>
    <t>FOI 4029-03 (ACV received Strategy 2.3 Sep 2021); FOI 4029-05 (VSIG operational, child deaths not referred); ACV Meeting Statements (published); Senate testimony (TGA "burn out" claim); OAIC MR22/00538 (the TGA said it was "unable to meaningfully interpret" the request as it applied to Objective 5 and ran no sample search)</t>
  </si>
  <si>
    <t>Rekaris, P. (2026). TGA COVID-19 Vaccine Safety Monitoring Plan — Output Assessment Evidence Matrix (v1.9.6). Harvard Dataverse. doi.org/10.7910/DVN/BDKZQJ</t>
  </si>
  <si>
    <t>Last Updated: 21 October 2026</t>
  </si>
  <si>
    <t>Fully Implemented / Partially Implemented / Not Documented. Status records what the public documentary record shows, not whether an activity occurred. "Not Documented" means delivery could not be verified from accessible records.</t>
  </si>
  <si>
    <t>Note: Severity (1-5) rates the significance of the documentation gap, not the quality of the TGA's activity. Fully Implemented outputs score 1. Within Partially Implemented, 3 (Moderate) and 4 (High) are defined in the Rating Criteria sheet. Mean severity is across all 19 outputs.</t>
  </si>
  <si>
    <t>No documentation of standing COVID-19-specific advisory committee; no evidence of paediatric advisory group convening; VSIG operational (FOI 4029-05) but child deaths not referred for expert review despite mechanism existing; the TGA's "burn out" explanation does not account for why child deaths were not referred while VSIG was operational (FOI 4029-05);  the TGA told the OAIC it was “unable to meaningfully interpret” the request as it applied to Objective 5 and ran no sample search</t>
  </si>
  <si>
    <t>No documentation of standing COVID-19-specific advisory committee; no evidence of paediatric advisory group convening; VSIG operational (FOI 4029-05) but child deaths not referred for expert review despite mechanism existing; the TGA's "burn out" explanation does not account for why child deaths were not referred while VSIG was operational (FOI 4029-05); the TGA told the OAIC it was “unable to meaningfully interpret” the request as it applied to Objective 5 and ran no sample search</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</si>
  <si>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and the TGA's "burn out" explanation (Senate testimony) does not account for this. Available expert processes are not documented as applied to child deaths.</t>
  </si>
  <si>
    <t>FOI 26-3110 (AusVaxSafety Annual Report 2022); FOI 4029-03 (ACV received Strategy 2.3 methodology, Sep 2021); FOI 4029-05 (VSIG operational; child deaths not referred); ACV Meeting Statements; Senate testimony; OAIC MR22/00538 (the TGA said it was “unable to meaningfully interpret” the request as it applied to Objective 5 and ran no sample search)</t>
  </si>
  <si>
    <t>The decision tree above establishes the three-category rating. Within "Partially Implemented," a numeric severity of 3 (Moderate) or 4 (High) is assigned using the same rating scale and definitions set out in the dataset codebook (Section 4). Severity grades the significance of each documentation gap for the monitoring objective it relates to, as ISO 19011:2018, cl. 6.4.8 permits.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</si>
</sst>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20"/>
      <color rgb="FFFFFFFF"/>
      <name val="Calibri"/>
      <family val="2"/>
    </font>
    <font>
      <sz val="11"/>
      <color indexed="8"/>
      <name val="Calibri"/>
      <family val="2"/>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
      <sz val="12"/>
      <color theme="1"/>
      <name val="Calibri"/>
      <family val="2"/>
      <charset val="1"/>
    </font>
    <font>
      <b/>
      <sz val="20"/>
      <color rgb="FFFFFFFF"/>
      <name val="Calibri"/>
      <family val="2"/>
      <charset val="1"/>
    </font>
    <font>
      <b/>
      <sz val="14"/>
      <color rgb="FF1F4E79"/>
      <name val="Calibri"/>
      <family val="2"/>
      <charset val="1"/>
    </font>
    <font>
      <sz val="11"/>
      <color theme="1"/>
      <name val="Calibri"/>
      <family val="2"/>
      <charset val="1"/>
    </font>
    <font>
      <b/>
      <sz val="11"/>
      <color rgb="FFFFFFFF"/>
      <name val="Calibri"/>
      <family val="2"/>
      <charset val="1"/>
    </font>
    <font>
      <b/>
      <sz val="11"/>
      <color rgb="FF006100"/>
      <name val="Calibri"/>
      <family val="2"/>
      <charset val="1"/>
    </font>
    <font>
      <sz val="14"/>
      <color rgb="FF006100"/>
      <name val="Calibri"/>
      <family val="2"/>
      <charset val="1"/>
    </font>
    <font>
      <b/>
      <sz val="11"/>
      <color theme="1"/>
      <name val="Calibri"/>
      <family val="2"/>
      <charset val="1"/>
    </font>
    <font>
      <b/>
      <sz val="11"/>
      <color rgb="FF9C5700"/>
      <name val="Calibri"/>
      <family val="2"/>
      <charset val="1"/>
    </font>
    <font>
      <sz val="14"/>
      <color rgb="FF9C5700"/>
      <name val="Calibri"/>
      <family val="2"/>
      <charset val="1"/>
    </font>
    <font>
      <b/>
      <sz val="11"/>
      <color rgb="FF9C0006"/>
      <name val="Calibri"/>
      <family val="2"/>
      <charset val="1"/>
    </font>
    <font>
      <sz val="14"/>
      <color rgb="FF9C0006"/>
      <name val="Calibri"/>
      <family val="2"/>
      <charset val="1"/>
    </font>
    <font>
      <b/>
      <sz val="12"/>
      <color rgb="FF1F4E79"/>
      <name val="Calibri"/>
      <family val="2"/>
      <charset val="1"/>
    </font>
    <font>
      <sz val="11"/>
      <color rgb="FF333333"/>
      <name val="Consolas"/>
      <family val="2"/>
      <charset val="1"/>
    </font>
    <font>
      <sz val="11"/>
      <color rgb="FF006100"/>
      <name val="Consolas"/>
      <family val="2"/>
      <charset val="1"/>
    </font>
    <font>
      <sz val="11"/>
      <color rgb="FF9C5700"/>
      <name val="Consolas"/>
      <family val="2"/>
      <charset val="1"/>
    </font>
    <font>
      <sz val="11"/>
      <color rgb="FF9C0006"/>
      <name val="Consolas"/>
      <family val="2"/>
      <charset val="1"/>
    </font>
    <font>
      <b/>
      <sz val="12"/>
      <name val="Calibri"/>
      <family val="2"/>
    </font>
    <font>
      <i/>
      <sz val="10"/>
      <name val="Calibri"/>
      <family val="2"/>
    </font>
    <font>
      <b/>
      <sz val="11"/>
      <color rgb="FFFFFFFF"/>
      <name val="Calibri"/>
      <family val="2"/>
    </font>
    <font>
      <sz val="11"/>
      <name val="Calibri"/>
      <family val="2"/>
    </font>
    <font>
      <b/>
      <i/>
      <sz val="11"/>
      <color theme="1"/>
      <name val="Calibri"/>
      <family val="2"/>
      <charset val="1"/>
    </font>
    <font>
      <b/>
      <sz val="13"/>
      <color rgb="FF006100"/>
      <name val="Calibri"/>
      <family val="2"/>
      <charset val="1"/>
    </font>
    <font>
      <b/>
      <sz val="11"/>
      <color rgb="FF1F4E79"/>
      <name val="Calibri"/>
      <family val="2"/>
      <charset val="1"/>
    </font>
    <font>
      <b/>
      <sz val="12"/>
      <color rgb="FF006100"/>
      <name val="Calibri"/>
      <family val="2"/>
      <charset val="1"/>
    </font>
    <font>
      <b/>
      <sz val="13"/>
      <color rgb="FF9C5700"/>
      <name val="Calibri"/>
      <family val="2"/>
      <charset val="1"/>
    </font>
    <font>
      <b/>
      <sz val="12"/>
      <color rgb="FF9C5700"/>
      <name val="Calibri"/>
      <family val="2"/>
      <charset val="1"/>
    </font>
    <font>
      <b/>
      <sz val="13"/>
      <color rgb="FF9C0006"/>
      <name val="Calibri"/>
      <family val="2"/>
      <charset val="1"/>
    </font>
    <font>
      <b/>
      <sz val="12"/>
      <color rgb="FF9C0006"/>
      <name val="Calibri"/>
      <family val="2"/>
      <charset val="1"/>
    </font>
    <font>
      <b/>
      <sz val="12"/>
      <color rgb="FF595959"/>
      <name val="Calibri"/>
      <family val="2"/>
      <charset val="1"/>
    </font>
    <font>
      <b/>
      <sz val="12"/>
      <color rgb="FF595959"/>
      <name val="Calibri (Body)"/>
      <charset val="1"/>
    </font>
    <font>
      <b/>
      <u/>
      <sz val="10"/>
      <color rgb="FF0563C1"/>
      <name val="Calibri"/>
      <family val="2"/>
      <charset val="1"/>
    </font>
    <font>
      <b/>
      <sz val="11"/>
      <color theme="1"/>
      <name val="Calibri"/>
      <family val="2"/>
    </font>
  </fonts>
  <fills count="2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
      <patternFill patternType="solid">
        <fgColor rgb="FF1F4E79"/>
        <bgColor rgb="FF003366"/>
      </patternFill>
    </fill>
    <fill>
      <patternFill patternType="solid">
        <fgColor rgb="FFFFFFFF"/>
        <bgColor rgb="FFF8F9FA"/>
      </patternFill>
    </fill>
    <fill>
      <patternFill patternType="solid">
        <fgColor rgb="FFD6DCE4"/>
        <bgColor rgb="FFD9D9D9"/>
      </patternFill>
    </fill>
    <fill>
      <patternFill patternType="solid">
        <fgColor rgb="FFC6EFCE"/>
        <bgColor rgb="FFE2EFDA"/>
      </patternFill>
    </fill>
    <fill>
      <patternFill patternType="solid">
        <fgColor rgb="FFFFEB9C"/>
        <bgColor rgb="FFFFF2CC"/>
      </patternFill>
    </fill>
    <fill>
      <patternFill patternType="solid">
        <fgColor rgb="FFFFC7CE"/>
        <bgColor rgb="FFD9D9D9"/>
      </patternFill>
    </fill>
    <fill>
      <patternFill patternType="solid">
        <fgColor rgb="FFF2F2F2"/>
        <bgColor rgb="FFF8F9FA"/>
      </patternFill>
    </fill>
    <fill>
      <patternFill patternType="solid">
        <fgColor rgb="FFF8F9FA"/>
        <bgColor rgb="FFFFFFFF"/>
      </patternFill>
    </fill>
    <fill>
      <patternFill patternType="solid">
        <fgColor rgb="FFE2EFDA"/>
        <bgColor rgb="FFF2F2F2"/>
      </patternFill>
    </fill>
    <fill>
      <patternFill patternType="solid">
        <fgColor rgb="FFFFF2CC"/>
        <bgColor rgb="FFF2F2F2"/>
      </patternFill>
    </fill>
    <fill>
      <patternFill patternType="solid">
        <fgColor rgb="FFFFEB9C"/>
        <bgColor rgb="FF000000"/>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
      <left style="thin">
        <color rgb="FFB4C6E7"/>
      </left>
      <right style="thin">
        <color rgb="FFB4C6E7"/>
      </right>
      <top/>
      <bottom/>
      <diagonal/>
    </border>
    <border>
      <left style="thin">
        <color rgb="FF548235"/>
      </left>
      <right style="thin">
        <color rgb="FF548235"/>
      </right>
      <top/>
      <bottom/>
      <diagonal/>
    </border>
    <border>
      <left style="thin">
        <color rgb="FF757171"/>
      </left>
      <right style="thin">
        <color rgb="FF757171"/>
      </right>
      <top style="thin">
        <color rgb="FF757171"/>
      </top>
      <bottom style="thin">
        <color rgb="FF757171"/>
      </bottom>
      <diagonal/>
    </border>
    <border>
      <left style="thin">
        <color rgb="FF757171"/>
      </left>
      <right style="thin">
        <color auto="1"/>
      </right>
      <top style="thin">
        <color rgb="FF757171"/>
      </top>
      <bottom style="thin">
        <color rgb="FF757171"/>
      </bottom>
      <diagonal/>
    </border>
  </borders>
  <cellStyleXfs count="4">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xf numFmtId="0" fontId="48" fillId="0" borderId="0"/>
  </cellStyleXfs>
  <cellXfs count="302">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28" fillId="0" borderId="0" xfId="2" applyNumberFormat="1" applyFont="1" applyBorder="1" applyAlignment="1">
      <alignment vertical="top"/>
    </xf>
    <xf numFmtId="0" fontId="2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8" xfId="0" applyFont="1" applyFill="1" applyBorder="1" applyAlignment="1">
      <alignment vertical="top" wrapText="1"/>
    </xf>
    <xf numFmtId="0" fontId="16" fillId="9" borderId="35" xfId="0" applyFont="1" applyFill="1" applyBorder="1" applyAlignment="1">
      <alignment vertical="top" wrapText="1"/>
    </xf>
    <xf numFmtId="0" fontId="16" fillId="9" borderId="38" xfId="0" applyFont="1" applyFill="1" applyBorder="1" applyAlignment="1">
      <alignment vertical="top" wrapText="1"/>
    </xf>
    <xf numFmtId="0" fontId="16" fillId="9" borderId="34" xfId="0" applyFont="1" applyFill="1" applyBorder="1" applyAlignment="1">
      <alignment horizontal="center" vertical="center" wrapText="1"/>
    </xf>
    <xf numFmtId="0" fontId="16" fillId="13" borderId="37"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6" fillId="9" borderId="36"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2" xfId="0" applyFill="1" applyBorder="1" applyAlignment="1">
      <alignment vertical="top" wrapText="1"/>
    </xf>
    <xf numFmtId="0" fontId="15" fillId="2" borderId="47" xfId="0" applyFont="1" applyFill="1" applyBorder="1" applyAlignment="1">
      <alignment horizontal="center" vertical="center" wrapText="1"/>
    </xf>
    <xf numFmtId="0" fontId="16" fillId="9" borderId="48" xfId="0" applyFont="1" applyFill="1" applyBorder="1" applyAlignment="1">
      <alignment vertical="top" wrapText="1"/>
    </xf>
    <xf numFmtId="0" fontId="16" fillId="13" borderId="49" xfId="0" applyFont="1" applyFill="1" applyBorder="1" applyAlignment="1">
      <alignment vertical="top" wrapText="1"/>
    </xf>
    <xf numFmtId="0" fontId="16" fillId="9" borderId="49" xfId="0" applyFont="1" applyFill="1" applyBorder="1" applyAlignment="1">
      <alignment vertical="top" wrapText="1"/>
    </xf>
    <xf numFmtId="0" fontId="16" fillId="9" borderId="50" xfId="0" applyFont="1" applyFill="1" applyBorder="1" applyAlignment="1">
      <alignment vertical="top" wrapText="1"/>
    </xf>
    <xf numFmtId="0" fontId="15" fillId="2" borderId="51" xfId="0" applyFont="1" applyFill="1" applyBorder="1" applyAlignment="1">
      <alignment horizontal="center" vertical="center" wrapText="1"/>
    </xf>
    <xf numFmtId="0" fontId="15" fillId="2" borderId="52" xfId="0" applyFont="1" applyFill="1" applyBorder="1" applyAlignment="1">
      <alignment horizontal="center" vertical="center" wrapText="1"/>
    </xf>
    <xf numFmtId="0" fontId="18" fillId="9" borderId="34" xfId="0" applyFont="1" applyFill="1" applyBorder="1" applyAlignment="1">
      <alignment vertical="top" wrapText="1"/>
    </xf>
    <xf numFmtId="0" fontId="18" fillId="13" borderId="37" xfId="0" applyFont="1" applyFill="1" applyBorder="1" applyAlignment="1">
      <alignment vertical="top" wrapText="1"/>
    </xf>
    <xf numFmtId="0" fontId="18" fillId="9" borderId="36" xfId="0" applyFont="1" applyFill="1" applyBorder="1" applyAlignment="1">
      <alignment vertical="top" wrapText="1"/>
    </xf>
    <xf numFmtId="0" fontId="15" fillId="2" borderId="53" xfId="0" applyFont="1" applyFill="1" applyBorder="1" applyAlignment="1">
      <alignment horizontal="center" vertical="center" wrapText="1"/>
    </xf>
    <xf numFmtId="0" fontId="18" fillId="9" borderId="37"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4" xfId="0" applyFont="1" applyFill="1" applyBorder="1" applyAlignment="1">
      <alignment vertical="center"/>
    </xf>
    <xf numFmtId="0" fontId="0" fillId="0" borderId="3" xfId="0" applyBorder="1" applyAlignment="1">
      <alignment horizontal="center" vertical="center"/>
    </xf>
    <xf numFmtId="0" fontId="3" fillId="4" borderId="37" xfId="0" applyFont="1" applyFill="1" applyBorder="1" applyAlignment="1">
      <alignment vertical="center"/>
    </xf>
    <xf numFmtId="0" fontId="0" fillId="0" borderId="38" xfId="0" applyBorder="1" applyAlignment="1">
      <alignment horizontal="center" vertical="center"/>
    </xf>
    <xf numFmtId="0" fontId="2" fillId="5" borderId="37" xfId="0" applyFont="1" applyFill="1" applyBorder="1" applyAlignment="1">
      <alignment vertical="center"/>
    </xf>
    <xf numFmtId="0" fontId="4" fillId="0" borderId="59"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4" xfId="0" applyFill="1" applyBorder="1" applyAlignment="1">
      <alignment vertical="center"/>
    </xf>
    <xf numFmtId="0" fontId="0" fillId="9" borderId="3" xfId="0" applyFill="1" applyBorder="1" applyAlignment="1">
      <alignment horizontal="center" vertical="center"/>
    </xf>
    <xf numFmtId="0" fontId="4" fillId="9" borderId="48" xfId="0" applyFont="1" applyFill="1" applyBorder="1" applyAlignment="1">
      <alignment horizontal="center" vertical="center"/>
    </xf>
    <xf numFmtId="0" fontId="0" fillId="0" borderId="37" xfId="0" applyBorder="1" applyAlignment="1">
      <alignment horizontal="left" vertical="center"/>
    </xf>
    <xf numFmtId="0" fontId="4" fillId="0" borderId="49" xfId="0" applyFont="1" applyBorder="1" applyAlignment="1">
      <alignment horizontal="center" vertical="center"/>
    </xf>
    <xf numFmtId="0" fontId="0" fillId="9" borderId="37" xfId="0" applyFill="1" applyBorder="1" applyAlignment="1">
      <alignment vertical="center"/>
    </xf>
    <xf numFmtId="0" fontId="0" fillId="9" borderId="38" xfId="0" applyFill="1" applyBorder="1" applyAlignment="1">
      <alignment horizontal="center" vertical="center"/>
    </xf>
    <xf numFmtId="0" fontId="4" fillId="9" borderId="49" xfId="0" applyFont="1" applyFill="1" applyBorder="1" applyAlignment="1">
      <alignment horizontal="center" vertical="center"/>
    </xf>
    <xf numFmtId="0" fontId="0" fillId="0" borderId="37" xfId="0" applyBorder="1" applyAlignment="1">
      <alignment vertical="center"/>
    </xf>
    <xf numFmtId="0" fontId="4" fillId="6" borderId="59" xfId="0" applyFont="1" applyFill="1" applyBorder="1" applyAlignment="1">
      <alignment vertical="center"/>
    </xf>
    <xf numFmtId="0" fontId="4" fillId="6" borderId="4" xfId="0" applyFont="1" applyFill="1" applyBorder="1" applyAlignment="1">
      <alignment horizontal="center" vertical="center"/>
    </xf>
    <xf numFmtId="0" fontId="4" fillId="6" borderId="60"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8" xfId="0" applyBorder="1" applyAlignment="1">
      <alignment horizontal="center" vertical="center"/>
    </xf>
    <xf numFmtId="164" fontId="0" fillId="0" borderId="38" xfId="0" applyNumberFormat="1" applyBorder="1" applyAlignment="1">
      <alignment horizontal="center" vertical="center"/>
    </xf>
    <xf numFmtId="0" fontId="0" fillId="0" borderId="49" xfId="0" applyBorder="1" applyAlignment="1">
      <alignment horizontal="center" vertical="center"/>
    </xf>
    <xf numFmtId="165" fontId="0" fillId="0" borderId="48" xfId="0" applyNumberFormat="1" applyBorder="1" applyAlignment="1">
      <alignment horizontal="center" vertical="center"/>
    </xf>
    <xf numFmtId="165" fontId="0" fillId="0" borderId="49" xfId="0" applyNumberFormat="1" applyBorder="1" applyAlignment="1">
      <alignment horizontal="center" vertical="center"/>
    </xf>
    <xf numFmtId="165" fontId="4" fillId="0" borderId="60" xfId="0" applyNumberFormat="1" applyFont="1" applyBorder="1" applyAlignment="1">
      <alignment horizontal="center" vertical="center"/>
    </xf>
    <xf numFmtId="49" fontId="23" fillId="9" borderId="14" xfId="2" applyNumberFormat="1" applyFont="1" applyFill="1" applyBorder="1">
      <alignment vertical="top" wrapText="1"/>
    </xf>
    <xf numFmtId="49" fontId="23" fillId="9" borderId="1" xfId="2" applyNumberFormat="1" applyFont="1" applyFill="1" applyBorder="1">
      <alignment vertical="top" wrapText="1"/>
    </xf>
    <xf numFmtId="49" fontId="24" fillId="3" borderId="1" xfId="2" applyNumberFormat="1" applyFont="1" applyFill="1" applyBorder="1" applyAlignment="1">
      <alignment horizontal="center" vertical="top" wrapText="1"/>
    </xf>
    <xf numFmtId="49" fontId="23" fillId="9" borderId="11" xfId="2" applyNumberFormat="1" applyFont="1" applyFill="1" applyBorder="1">
      <alignment vertical="top" wrapText="1"/>
    </xf>
    <xf numFmtId="49" fontId="23" fillId="0" borderId="14" xfId="2" applyNumberFormat="1" applyFont="1" applyBorder="1">
      <alignment vertical="top" wrapText="1"/>
    </xf>
    <xf numFmtId="49" fontId="23" fillId="0" borderId="1" xfId="2" applyNumberFormat="1" applyFont="1" applyBorder="1">
      <alignment vertical="top" wrapText="1"/>
    </xf>
    <xf numFmtId="49" fontId="23" fillId="0" borderId="11" xfId="2" applyNumberFormat="1" applyFont="1" applyBorder="1">
      <alignment vertical="top" wrapText="1"/>
    </xf>
    <xf numFmtId="49" fontId="25" fillId="4" borderId="1" xfId="2" applyNumberFormat="1" applyFont="1" applyFill="1" applyBorder="1" applyAlignment="1">
      <alignment horizontal="center" vertical="top" wrapText="1"/>
    </xf>
    <xf numFmtId="49" fontId="26" fillId="5" borderId="1" xfId="2" applyNumberFormat="1" applyFont="1" applyFill="1" applyBorder="1" applyAlignment="1">
      <alignment horizontal="center" vertical="top" wrapText="1"/>
    </xf>
    <xf numFmtId="49" fontId="23" fillId="7" borderId="14" xfId="2" applyNumberFormat="1" applyFont="1" applyFill="1" applyBorder="1">
      <alignment vertical="top" wrapText="1"/>
    </xf>
    <xf numFmtId="49" fontId="23" fillId="7" borderId="1" xfId="2" applyNumberFormat="1" applyFont="1" applyFill="1" applyBorder="1">
      <alignment vertical="top" wrapText="1"/>
    </xf>
    <xf numFmtId="49" fontId="23" fillId="7" borderId="11" xfId="2" applyNumberFormat="1" applyFont="1" applyFill="1" applyBorder="1">
      <alignment vertical="top" wrapText="1"/>
    </xf>
    <xf numFmtId="49" fontId="23" fillId="7" borderId="15" xfId="2" applyNumberFormat="1" applyFont="1" applyFill="1" applyBorder="1">
      <alignment vertical="top" wrapText="1"/>
    </xf>
    <xf numFmtId="49" fontId="26" fillId="5" borderId="15" xfId="2" applyNumberFormat="1" applyFont="1" applyFill="1" applyBorder="1" applyAlignment="1">
      <alignment horizontal="center" vertical="top" wrapText="1"/>
    </xf>
    <xf numFmtId="49" fontId="23" fillId="7" borderId="13" xfId="2" applyNumberFormat="1" applyFont="1" applyFill="1" applyBorder="1">
      <alignment vertical="top" wrapText="1"/>
    </xf>
    <xf numFmtId="49" fontId="26" fillId="5" borderId="16" xfId="2" applyNumberFormat="1" applyFont="1" applyFill="1" applyBorder="1" applyAlignment="1">
      <alignment horizontal="center" vertical="top" wrapText="1"/>
    </xf>
    <xf numFmtId="49" fontId="33" fillId="9" borderId="23" xfId="2" applyNumberFormat="1" applyFont="1" applyFill="1" applyBorder="1" applyAlignment="1">
      <alignment horizontal="center" vertical="center" wrapText="1"/>
    </xf>
    <xf numFmtId="49" fontId="33" fillId="0" borderId="23" xfId="2" applyNumberFormat="1" applyFont="1" applyBorder="1" applyAlignment="1">
      <alignment horizontal="center" vertical="center" wrapText="1"/>
    </xf>
    <xf numFmtId="49" fontId="33" fillId="9" borderId="22" xfId="2" applyNumberFormat="1" applyFont="1" applyFill="1" applyBorder="1" applyAlignment="1">
      <alignment horizontal="center" vertical="center" wrapText="1"/>
    </xf>
    <xf numFmtId="49" fontId="33" fillId="7" borderId="23" xfId="2" applyNumberFormat="1" applyFont="1" applyFill="1" applyBorder="1" applyAlignment="1">
      <alignment horizontal="center" vertical="center" wrapText="1"/>
    </xf>
    <xf numFmtId="49" fontId="22" fillId="9" borderId="1" xfId="2" applyNumberFormat="1" applyFont="1" applyFill="1" applyBorder="1" applyAlignment="1">
      <alignment horizontal="center" vertical="center" wrapText="1"/>
    </xf>
    <xf numFmtId="49" fontId="22" fillId="7" borderId="15" xfId="2" applyNumberFormat="1" applyFont="1" applyFill="1" applyBorder="1" applyAlignment="1">
      <alignment horizontal="center" vertical="center" wrapText="1"/>
    </xf>
    <xf numFmtId="49" fontId="36" fillId="2" borderId="18" xfId="2" applyNumberFormat="1" applyFont="1" applyFill="1" applyBorder="1" applyAlignment="1">
      <alignment horizontal="center" vertical="center" wrapText="1"/>
    </xf>
    <xf numFmtId="49" fontId="36" fillId="2" borderId="19" xfId="2" applyNumberFormat="1" applyFont="1" applyFill="1" applyBorder="1" applyAlignment="1">
      <alignment horizontal="center" vertical="center" wrapText="1"/>
    </xf>
    <xf numFmtId="49" fontId="36" fillId="2" borderId="12" xfId="2" applyNumberFormat="1" applyFont="1" applyFill="1" applyBorder="1" applyAlignment="1">
      <alignment horizontal="center" vertical="center" wrapText="1"/>
    </xf>
    <xf numFmtId="49" fontId="36" fillId="2" borderId="20" xfId="2" applyNumberFormat="1" applyFont="1" applyFill="1" applyBorder="1" applyAlignment="1">
      <alignment horizontal="center" vertical="center" wrapText="1"/>
    </xf>
    <xf numFmtId="49" fontId="36" fillId="2" borderId="61" xfId="2" applyNumberFormat="1" applyFont="1" applyFill="1" applyBorder="1" applyAlignment="1">
      <alignment horizontal="center" vertical="center" wrapText="1"/>
    </xf>
    <xf numFmtId="0" fontId="37" fillId="0" borderId="0" xfId="2" applyNumberFormat="1" applyFont="1" applyBorder="1" applyAlignment="1">
      <alignment vertical="top"/>
    </xf>
    <xf numFmtId="0" fontId="3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4" xfId="0" applyBorder="1" applyAlignment="1">
      <alignment horizontal="left" vertical="top" wrapText="1"/>
    </xf>
    <xf numFmtId="0" fontId="38" fillId="0" borderId="0" xfId="0" applyFont="1" applyAlignment="1">
      <alignmen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30" fillId="2" borderId="7" xfId="0" applyFont="1" applyFill="1" applyBorder="1" applyAlignment="1">
      <alignment vertical="top"/>
    </xf>
    <xf numFmtId="0" fontId="30" fillId="2" borderId="3" xfId="0" applyFont="1" applyFill="1" applyBorder="1" applyAlignment="1">
      <alignment vertical="top"/>
    </xf>
    <xf numFmtId="0" fontId="30" fillId="2" borderId="8" xfId="0" applyFont="1" applyFill="1" applyBorder="1" applyAlignment="1">
      <alignment vertical="top"/>
    </xf>
    <xf numFmtId="0" fontId="44" fillId="16" borderId="0" xfId="0" applyFont="1" applyFill="1" applyAlignment="1">
      <alignment vertical="center"/>
    </xf>
    <xf numFmtId="0" fontId="45" fillId="14" borderId="0" xfId="0" applyFont="1" applyFill="1" applyAlignment="1">
      <alignment vertical="top" wrapText="1"/>
    </xf>
    <xf numFmtId="0" fontId="42" fillId="14" borderId="0" xfId="0" applyFont="1" applyFill="1" applyAlignment="1">
      <alignment vertical="top" wrapText="1"/>
    </xf>
    <xf numFmtId="0" fontId="45" fillId="17" borderId="0" xfId="0" applyFont="1" applyFill="1" applyAlignment="1">
      <alignment vertical="top" wrapText="1"/>
    </xf>
    <xf numFmtId="0" fontId="42" fillId="17" borderId="0" xfId="0" applyFont="1" applyFill="1" applyAlignment="1">
      <alignment vertical="top" wrapText="1"/>
    </xf>
    <xf numFmtId="0" fontId="46" fillId="14" borderId="0" xfId="0" applyFont="1" applyFill="1" applyAlignment="1">
      <alignment vertical="top" wrapText="1"/>
    </xf>
    <xf numFmtId="0" fontId="46" fillId="17" borderId="0" xfId="0" applyFont="1" applyFill="1" applyAlignment="1">
      <alignment vertical="top" wrapText="1"/>
    </xf>
    <xf numFmtId="0" fontId="47" fillId="14" borderId="0" xfId="0" applyFont="1" applyFill="1" applyAlignment="1">
      <alignment vertical="top" wrapText="1"/>
    </xf>
    <xf numFmtId="0" fontId="47" fillId="17" borderId="0" xfId="0" applyFont="1" applyFill="1" applyAlignment="1">
      <alignment vertical="top" wrapText="1"/>
    </xf>
    <xf numFmtId="0" fontId="0" fillId="9" borderId="37" xfId="0" applyFill="1" applyBorder="1" applyAlignment="1">
      <alignment vertical="center" wrapText="1"/>
    </xf>
    <xf numFmtId="49" fontId="22" fillId="9" borderId="17" xfId="2" applyNumberFormat="1" applyFont="1" applyFill="1" applyBorder="1" applyAlignment="1">
      <alignment horizontal="center" vertical="center" wrapText="1"/>
    </xf>
    <xf numFmtId="49" fontId="2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8" fillId="0" borderId="0" xfId="3" applyAlignment="1">
      <alignment vertical="top" wrapText="1"/>
    </xf>
    <xf numFmtId="0" fontId="48" fillId="19" borderId="0" xfId="3" applyFill="1" applyAlignment="1">
      <alignment vertical="top" wrapText="1"/>
    </xf>
    <xf numFmtId="0" fontId="48" fillId="19" borderId="0" xfId="3" applyFill="1" applyAlignment="1">
      <alignment horizontal="center" vertical="top" wrapText="1"/>
    </xf>
    <xf numFmtId="0" fontId="48" fillId="19" borderId="3" xfId="3" applyFill="1" applyBorder="1" applyAlignment="1">
      <alignment vertical="top" wrapText="1"/>
    </xf>
    <xf numFmtId="0" fontId="48" fillId="19" borderId="3" xfId="3" applyFill="1" applyBorder="1" applyAlignment="1">
      <alignment horizontal="center" vertical="top" wrapText="1"/>
    </xf>
    <xf numFmtId="0" fontId="52" fillId="18" borderId="54" xfId="3" applyFont="1" applyFill="1" applyBorder="1" applyAlignment="1">
      <alignment vertical="top" wrapText="1"/>
    </xf>
    <xf numFmtId="0" fontId="52" fillId="18" borderId="0" xfId="3" applyFont="1" applyFill="1" applyAlignment="1">
      <alignment horizontal="center" vertical="top" wrapText="1"/>
    </xf>
    <xf numFmtId="0" fontId="52" fillId="18" borderId="0" xfId="3" applyFont="1" applyFill="1" applyAlignment="1">
      <alignment vertical="top" wrapText="1"/>
    </xf>
    <xf numFmtId="0" fontId="52" fillId="18" borderId="55" xfId="3" applyFont="1" applyFill="1" applyBorder="1" applyAlignment="1">
      <alignment vertical="top" wrapText="1"/>
    </xf>
    <xf numFmtId="0" fontId="53" fillId="21" borderId="7" xfId="3" applyFont="1" applyFill="1" applyBorder="1" applyAlignment="1">
      <alignment vertical="top" wrapText="1"/>
    </xf>
    <xf numFmtId="0" fontId="54" fillId="21" borderId="3" xfId="3" applyFont="1" applyFill="1" applyBorder="1" applyAlignment="1">
      <alignment horizontal="center" vertical="top" wrapText="1"/>
    </xf>
    <xf numFmtId="0" fontId="51" fillId="21" borderId="3" xfId="3" applyFont="1" applyFill="1" applyBorder="1" applyAlignment="1">
      <alignment vertical="top" wrapText="1"/>
    </xf>
    <xf numFmtId="0" fontId="55" fillId="21" borderId="8" xfId="3" applyFont="1" applyFill="1" applyBorder="1" applyAlignment="1">
      <alignment vertical="top" wrapText="1"/>
    </xf>
    <xf numFmtId="0" fontId="56" fillId="22" borderId="9" xfId="3" applyFont="1" applyFill="1" applyBorder="1" applyAlignment="1">
      <alignment vertical="top" wrapText="1"/>
    </xf>
    <xf numFmtId="0" fontId="57" fillId="22" borderId="2" xfId="3" applyFont="1" applyFill="1" applyBorder="1" applyAlignment="1">
      <alignment horizontal="center" vertical="top" wrapText="1"/>
    </xf>
    <xf numFmtId="0" fontId="51" fillId="22" borderId="2" xfId="3" applyFont="1" applyFill="1" applyBorder="1" applyAlignment="1">
      <alignment vertical="top" wrapText="1"/>
    </xf>
    <xf numFmtId="0" fontId="55" fillId="22" borderId="10" xfId="3" applyFont="1" applyFill="1" applyBorder="1" applyAlignment="1">
      <alignment vertical="top" wrapText="1"/>
    </xf>
    <xf numFmtId="0" fontId="58" fillId="23" borderId="9" xfId="3" applyFont="1" applyFill="1" applyBorder="1" applyAlignment="1">
      <alignment vertical="top" wrapText="1"/>
    </xf>
    <xf numFmtId="0" fontId="59" fillId="23" borderId="2" xfId="3" applyFont="1" applyFill="1" applyBorder="1" applyAlignment="1">
      <alignment horizontal="center" vertical="top" wrapText="1"/>
    </xf>
    <xf numFmtId="0" fontId="51" fillId="23" borderId="2" xfId="3" applyFont="1" applyFill="1" applyBorder="1" applyAlignment="1">
      <alignment vertical="top" wrapText="1"/>
    </xf>
    <xf numFmtId="0" fontId="52" fillId="18" borderId="0" xfId="3" applyFont="1" applyFill="1" applyAlignment="1">
      <alignment horizontal="left" vertical="top" wrapText="1"/>
    </xf>
    <xf numFmtId="0" fontId="55" fillId="24" borderId="0" xfId="3" applyFont="1" applyFill="1" applyAlignment="1">
      <alignment vertical="top" wrapText="1"/>
    </xf>
    <xf numFmtId="0" fontId="51" fillId="24" borderId="0" xfId="3" applyFont="1" applyFill="1" applyAlignment="1">
      <alignment horizontal="left" vertical="top" wrapText="1"/>
    </xf>
    <xf numFmtId="0" fontId="51" fillId="24" borderId="0" xfId="3" applyFont="1" applyFill="1" applyAlignment="1">
      <alignment vertical="top" wrapText="1"/>
    </xf>
    <xf numFmtId="0" fontId="55" fillId="0" borderId="0" xfId="3" applyFont="1" applyAlignment="1">
      <alignment vertical="top" wrapText="1"/>
    </xf>
    <xf numFmtId="0" fontId="51" fillId="0" borderId="0" xfId="3" applyFont="1" applyAlignment="1">
      <alignment horizontal="left" vertical="top" wrapText="1"/>
    </xf>
    <xf numFmtId="0" fontId="51" fillId="0" borderId="0" xfId="3" applyFont="1" applyAlignment="1">
      <alignment vertical="top" wrapText="1"/>
    </xf>
    <xf numFmtId="0" fontId="48" fillId="19" borderId="39" xfId="3" applyFill="1" applyBorder="1" applyAlignment="1">
      <alignment vertical="top" wrapText="1"/>
    </xf>
    <xf numFmtId="0" fontId="48" fillId="19" borderId="39" xfId="3" applyFill="1" applyBorder="1" applyAlignment="1">
      <alignment horizontal="center" vertical="top" wrapText="1"/>
    </xf>
    <xf numFmtId="0" fontId="65" fillId="19" borderId="39" xfId="3" applyFont="1" applyFill="1" applyBorder="1" applyAlignment="1">
      <alignment vertical="top" wrapText="1"/>
    </xf>
    <xf numFmtId="0" fontId="66" fillId="20" borderId="29" xfId="3" applyFont="1" applyFill="1" applyBorder="1" applyAlignment="1">
      <alignment horizontal="left" vertical="top" wrapText="1"/>
    </xf>
    <xf numFmtId="0" fontId="48" fillId="0" borderId="0" xfId="3" applyAlignment="1">
      <alignment horizontal="center" vertical="top" wrapText="1"/>
    </xf>
    <xf numFmtId="0" fontId="66" fillId="0" borderId="0" xfId="3" applyFont="1" applyAlignment="1">
      <alignment wrapText="1"/>
    </xf>
    <xf numFmtId="0" fontId="67" fillId="18" borderId="5" xfId="3" applyFont="1" applyFill="1" applyBorder="1" applyAlignment="1">
      <alignment horizontal="center" vertical="center" wrapText="1"/>
    </xf>
    <xf numFmtId="0" fontId="67" fillId="18" borderId="4" xfId="3" applyFont="1" applyFill="1" applyBorder="1" applyAlignment="1">
      <alignment horizontal="center" vertical="center" wrapText="1"/>
    </xf>
    <xf numFmtId="0" fontId="67" fillId="18" borderId="6" xfId="3" applyFont="1" applyFill="1" applyBorder="1" applyAlignment="1">
      <alignment horizontal="center" vertical="center" wrapText="1"/>
    </xf>
    <xf numFmtId="0" fontId="52" fillId="18" borderId="6" xfId="3" applyFont="1" applyFill="1" applyBorder="1" applyAlignment="1">
      <alignment vertical="top" wrapText="1"/>
    </xf>
    <xf numFmtId="0" fontId="68" fillId="24" borderId="0" xfId="3" applyFont="1" applyFill="1" applyAlignment="1">
      <alignment horizontal="center" vertical="top" wrapText="1"/>
    </xf>
    <xf numFmtId="0" fontId="68" fillId="24" borderId="0" xfId="3" applyFont="1" applyFill="1" applyAlignment="1">
      <alignment horizontal="left" vertical="top" wrapText="1"/>
    </xf>
    <xf numFmtId="0" fontId="68" fillId="0" borderId="0" xfId="3" applyFont="1" applyAlignment="1">
      <alignment horizontal="center" vertical="top" wrapText="1"/>
    </xf>
    <xf numFmtId="0" fontId="68" fillId="0" borderId="0" xfId="3" applyFont="1" applyAlignment="1">
      <alignment horizontal="left" vertical="top" wrapText="1"/>
    </xf>
    <xf numFmtId="0" fontId="66" fillId="24" borderId="0" xfId="3" applyFont="1" applyFill="1" applyAlignment="1">
      <alignment wrapText="1"/>
    </xf>
    <xf numFmtId="0" fontId="52" fillId="18" borderId="5" xfId="3" applyFont="1" applyFill="1" applyBorder="1" applyAlignment="1">
      <alignment vertical="top" wrapText="1"/>
    </xf>
    <xf numFmtId="0" fontId="52" fillId="18" borderId="4" xfId="3" applyFont="1" applyFill="1" applyBorder="1" applyAlignment="1">
      <alignment horizontal="left" vertical="top" wrapText="1"/>
    </xf>
    <xf numFmtId="0" fontId="52" fillId="18" borderId="4" xfId="3" applyFont="1" applyFill="1" applyBorder="1" applyAlignment="1">
      <alignment vertical="top" wrapText="1"/>
    </xf>
    <xf numFmtId="0" fontId="48" fillId="19" borderId="30" xfId="3" applyFill="1" applyBorder="1" applyAlignment="1">
      <alignment vertical="top" wrapText="1"/>
    </xf>
    <xf numFmtId="0" fontId="48" fillId="19" borderId="30" xfId="3" applyFill="1" applyBorder="1" applyAlignment="1">
      <alignment horizontal="center" vertical="top" wrapText="1"/>
    </xf>
    <xf numFmtId="0" fontId="48" fillId="19" borderId="0" xfId="3" applyFill="1" applyAlignment="1">
      <alignment vertical="top"/>
    </xf>
    <xf numFmtId="0" fontId="48" fillId="19" borderId="0" xfId="3" applyFill="1" applyAlignment="1">
      <alignment horizontal="center" vertical="top"/>
    </xf>
    <xf numFmtId="0" fontId="48" fillId="19" borderId="3" xfId="3" applyFill="1" applyBorder="1" applyAlignment="1">
      <alignment vertical="top"/>
    </xf>
    <xf numFmtId="0" fontId="48" fillId="19" borderId="3" xfId="3" applyFill="1" applyBorder="1" applyAlignment="1">
      <alignment horizontal="center" vertical="top"/>
    </xf>
    <xf numFmtId="0" fontId="48" fillId="19" borderId="57" xfId="3" applyFill="1" applyBorder="1" applyAlignment="1">
      <alignment vertical="top"/>
    </xf>
    <xf numFmtId="0" fontId="48" fillId="19" borderId="57" xfId="3" applyFill="1" applyBorder="1" applyAlignment="1">
      <alignment horizontal="center" vertical="top"/>
    </xf>
    <xf numFmtId="0" fontId="48" fillId="19" borderId="57" xfId="3" applyFill="1" applyBorder="1" applyAlignment="1">
      <alignment vertical="top" wrapText="1"/>
    </xf>
    <xf numFmtId="0" fontId="48" fillId="19" borderId="58" xfId="3" applyFill="1" applyBorder="1" applyAlignment="1">
      <alignment vertical="top"/>
    </xf>
    <xf numFmtId="0" fontId="48" fillId="19" borderId="58" xfId="3" applyFill="1" applyBorder="1" applyAlignment="1">
      <alignment vertical="top" wrapText="1"/>
    </xf>
    <xf numFmtId="0" fontId="48" fillId="19" borderId="33" xfId="3" applyFill="1" applyBorder="1" applyAlignment="1">
      <alignment vertical="top"/>
    </xf>
    <xf numFmtId="0" fontId="48" fillId="19" borderId="33" xfId="3" applyFill="1" applyBorder="1" applyAlignment="1">
      <alignment vertical="top" wrapText="1"/>
    </xf>
    <xf numFmtId="0" fontId="51" fillId="19" borderId="0" xfId="3" applyFont="1" applyFill="1" applyAlignment="1">
      <alignment vertical="top"/>
    </xf>
    <xf numFmtId="49" fontId="3" fillId="28" borderId="67" xfId="0" applyNumberFormat="1" applyFont="1" applyFill="1" applyBorder="1" applyAlignment="1">
      <alignment horizontal="center" vertical="top" wrapText="1"/>
    </xf>
    <xf numFmtId="0" fontId="80" fillId="23" borderId="2" xfId="3" applyFont="1" applyFill="1" applyBorder="1" applyAlignment="1">
      <alignment vertical="top" wrapText="1"/>
    </xf>
    <xf numFmtId="0" fontId="0" fillId="12" borderId="24" xfId="0" applyFill="1" applyBorder="1" applyAlignment="1">
      <alignment horizontal="left" vertical="top" wrapText="1"/>
    </xf>
    <xf numFmtId="0" fontId="0" fillId="12" borderId="68" xfId="0" applyFill="1" applyBorder="1" applyAlignment="1">
      <alignment horizontal="left" vertical="top" wrapText="1"/>
    </xf>
    <xf numFmtId="0" fontId="4" fillId="0" borderId="0" xfId="0" applyFont="1"/>
    <xf numFmtId="0" fontId="0" fillId="0" borderId="0" xfId="0" applyAlignment="1">
      <alignment wrapText="1"/>
    </xf>
    <xf numFmtId="0" fontId="43" fillId="15" borderId="0" xfId="0" applyFont="1" applyFill="1" applyAlignment="1">
      <alignment vertical="center"/>
    </xf>
    <xf numFmtId="0" fontId="0" fillId="0" borderId="0" xfId="0"/>
    <xf numFmtId="0" fontId="39" fillId="15" borderId="0" xfId="0" applyFont="1" applyFill="1" applyAlignment="1">
      <alignment vertical="center"/>
    </xf>
    <xf numFmtId="0" fontId="40" fillId="15" borderId="0" xfId="0" applyFont="1" applyFill="1" applyAlignment="1">
      <alignment vertical="center"/>
    </xf>
    <xf numFmtId="0" fontId="41" fillId="16" borderId="0" xfId="0" applyFont="1" applyFill="1" applyAlignment="1">
      <alignment vertical="center"/>
    </xf>
    <xf numFmtId="0" fontId="0" fillId="17" borderId="0" xfId="0" applyFill="1"/>
    <xf numFmtId="0" fontId="42" fillId="14" borderId="0" xfId="0" applyFont="1" applyFill="1" applyAlignment="1">
      <alignment wrapText="1"/>
    </xf>
    <xf numFmtId="0" fontId="42" fillId="14" borderId="0" xfId="0" applyFont="1" applyFill="1" applyAlignment="1">
      <alignment vertical="top" wrapText="1"/>
    </xf>
    <xf numFmtId="0" fontId="30" fillId="2" borderId="0" xfId="0" applyFont="1" applyFill="1" applyAlignment="1">
      <alignment vertical="center" indent="1"/>
    </xf>
    <xf numFmtId="0" fontId="30" fillId="2" borderId="0" xfId="0" applyFont="1" applyFill="1" applyAlignment="1">
      <alignment vertical="center"/>
    </xf>
    <xf numFmtId="0" fontId="27" fillId="8" borderId="3" xfId="0" applyFont="1" applyFill="1" applyBorder="1" applyAlignment="1">
      <alignment horizontal="left" vertical="center" wrapText="1"/>
    </xf>
    <xf numFmtId="0" fontId="27" fillId="8" borderId="0" xfId="0" applyFont="1" applyFill="1" applyAlignment="1">
      <alignment horizontal="left" vertical="center" wrapText="1"/>
    </xf>
    <xf numFmtId="0" fontId="35" fillId="8" borderId="0" xfId="0" applyFont="1" applyFill="1" applyAlignment="1">
      <alignment horizontal="left" vertical="center" wrapText="1"/>
    </xf>
    <xf numFmtId="0" fontId="18" fillId="10" borderId="40"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1"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3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0" xfId="0" applyFont="1" applyFill="1" applyBorder="1" applyAlignment="1">
      <alignment vertical="center" wrapText="1" indent="1"/>
    </xf>
    <xf numFmtId="0" fontId="19" fillId="10" borderId="0" xfId="0" applyFont="1" applyFill="1" applyAlignment="1">
      <alignment vertical="center" wrapText="1"/>
    </xf>
    <xf numFmtId="0" fontId="19" fillId="10" borderId="41" xfId="0" applyFont="1" applyFill="1" applyBorder="1" applyAlignment="1">
      <alignment vertical="center" wrapText="1"/>
    </xf>
    <xf numFmtId="0" fontId="20" fillId="10" borderId="40" xfId="0" applyFont="1" applyFill="1" applyBorder="1" applyAlignment="1">
      <alignment vertical="top" wrapText="1" indent="1"/>
    </xf>
    <xf numFmtId="0" fontId="20" fillId="10" borderId="0" xfId="0" applyFont="1" applyFill="1" applyAlignment="1">
      <alignment vertical="top" wrapText="1"/>
    </xf>
    <xf numFmtId="0" fontId="20" fillId="10" borderId="41"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3" xfId="0" applyFont="1" applyFill="1" applyBorder="1" applyAlignment="1">
      <alignment vertical="top" wrapText="1"/>
    </xf>
    <xf numFmtId="0" fontId="18" fillId="11" borderId="0" xfId="0" applyFont="1" applyFill="1" applyAlignment="1">
      <alignment vertical="top" wrapText="1"/>
    </xf>
    <xf numFmtId="0" fontId="18" fillId="11" borderId="44" xfId="0" applyFont="1" applyFill="1" applyBorder="1" applyAlignment="1">
      <alignment vertical="top" wrapText="1"/>
    </xf>
    <xf numFmtId="0" fontId="2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5"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5"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6" xfId="0" applyFont="1" applyFill="1" applyBorder="1" applyAlignment="1">
      <alignment horizontal="left" vertical="top" wrapText="1"/>
    </xf>
    <xf numFmtId="0" fontId="16" fillId="12" borderId="0" xfId="0" applyFont="1" applyFill="1" applyAlignment="1">
      <alignment horizontal="left" vertical="top" wrapText="1"/>
    </xf>
    <xf numFmtId="0" fontId="20" fillId="0" borderId="0" xfId="0" applyFont="1" applyAlignment="1">
      <alignment vertical="center" wrapText="1" indent="1"/>
    </xf>
    <xf numFmtId="0" fontId="20" fillId="0" borderId="0" xfId="0" applyFont="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30" fillId="2" borderId="0" xfId="0" applyFont="1" applyFill="1" applyAlignment="1">
      <alignment horizontal="left" vertical="center" wrapText="1" indent="1"/>
    </xf>
    <xf numFmtId="0" fontId="3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31" fillId="0" borderId="0" xfId="1" applyFont="1" applyAlignment="1">
      <alignment vertical="center" wrapText="1" indent="1"/>
    </xf>
    <xf numFmtId="0" fontId="3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50" fillId="20" borderId="0" xfId="3" applyFont="1" applyFill="1" applyAlignment="1">
      <alignment vertical="center" wrapText="1" indent="1"/>
    </xf>
    <xf numFmtId="0" fontId="49" fillId="18" borderId="0" xfId="3" applyFont="1" applyFill="1" applyAlignment="1">
      <alignment horizontal="left" vertical="center" wrapText="1" indent="1"/>
    </xf>
    <xf numFmtId="0" fontId="51" fillId="0" borderId="0" xfId="3" applyFont="1" applyAlignment="1">
      <alignment vertical="center" wrapText="1" indent="1"/>
    </xf>
    <xf numFmtId="0" fontId="61" fillId="25" borderId="65" xfId="3" applyFont="1" applyFill="1" applyBorder="1" applyAlignment="1">
      <alignment vertical="center"/>
    </xf>
    <xf numFmtId="0" fontId="60" fillId="0" borderId="0" xfId="3" applyFont="1" applyAlignment="1">
      <alignment vertical="center" wrapText="1" indent="1"/>
    </xf>
    <xf numFmtId="0" fontId="62" fillId="25" borderId="65" xfId="3" applyFont="1" applyFill="1" applyBorder="1" applyAlignment="1">
      <alignment vertical="center"/>
    </xf>
    <xf numFmtId="0" fontId="63" fillId="25" borderId="65" xfId="3" applyFont="1" applyFill="1" applyBorder="1" applyAlignment="1">
      <alignment vertical="center"/>
    </xf>
    <xf numFmtId="0" fontId="64" fillId="25" borderId="65" xfId="3" applyFont="1" applyFill="1" applyBorder="1" applyAlignment="1">
      <alignment vertical="center"/>
    </xf>
    <xf numFmtId="0" fontId="55" fillId="24" borderId="0" xfId="3" applyFont="1" applyFill="1" applyAlignment="1">
      <alignment vertical="center" wrapText="1"/>
    </xf>
    <xf numFmtId="0" fontId="50" fillId="20" borderId="29" xfId="3" applyFont="1" applyFill="1" applyBorder="1" applyAlignment="1">
      <alignment vertical="center" wrapText="1" indent="1"/>
    </xf>
    <xf numFmtId="0" fontId="69" fillId="0" borderId="0" xfId="3" applyFont="1" applyAlignment="1">
      <alignment vertical="center" wrapText="1"/>
    </xf>
    <xf numFmtId="0" fontId="55" fillId="26" borderId="66" xfId="3" applyFont="1" applyFill="1" applyBorder="1" applyAlignment="1">
      <alignment vertical="center" wrapText="1" indent="1"/>
    </xf>
    <xf numFmtId="0" fontId="55" fillId="19" borderId="0" xfId="3" applyFont="1" applyFill="1" applyAlignment="1">
      <alignment vertical="center" wrapText="1"/>
    </xf>
    <xf numFmtId="0" fontId="69" fillId="26" borderId="56" xfId="3" applyFont="1" applyFill="1" applyBorder="1" applyAlignment="1">
      <alignment vertical="top" wrapText="1"/>
    </xf>
    <xf numFmtId="0" fontId="55" fillId="0" borderId="0" xfId="3" applyFont="1" applyAlignment="1">
      <alignment vertical="center"/>
    </xf>
    <xf numFmtId="0" fontId="51" fillId="24" borderId="0" xfId="3" applyFont="1" applyFill="1" applyAlignment="1">
      <alignment vertical="center" wrapText="1"/>
    </xf>
    <xf numFmtId="0" fontId="51" fillId="19" borderId="0" xfId="3" applyFont="1" applyFill="1" applyAlignment="1">
      <alignment vertical="center" wrapText="1"/>
    </xf>
    <xf numFmtId="0" fontId="50" fillId="20" borderId="0" xfId="3" applyFont="1" applyFill="1" applyAlignment="1">
      <alignment vertical="center" indent="1"/>
    </xf>
    <xf numFmtId="0" fontId="70" fillId="21" borderId="0" xfId="3" applyFont="1" applyFill="1" applyAlignment="1">
      <alignment vertical="center" indent="1"/>
    </xf>
    <xf numFmtId="0" fontId="71" fillId="0" borderId="0" xfId="3" applyFont="1" applyAlignment="1">
      <alignment vertical="center"/>
    </xf>
    <xf numFmtId="0" fontId="55" fillId="0" borderId="0" xfId="3" applyFont="1" applyAlignment="1">
      <alignment vertical="top"/>
    </xf>
    <xf numFmtId="0" fontId="51" fillId="27" borderId="0" xfId="3" applyFont="1" applyFill="1" applyAlignment="1">
      <alignment vertical="center" wrapText="1"/>
    </xf>
    <xf numFmtId="0" fontId="72" fillId="21" borderId="0" xfId="3" applyFont="1" applyFill="1" applyAlignment="1">
      <alignment horizontal="center" vertical="center"/>
    </xf>
    <xf numFmtId="0" fontId="73" fillId="22" borderId="0" xfId="3" applyFont="1" applyFill="1" applyAlignment="1">
      <alignment vertical="center"/>
    </xf>
    <xf numFmtId="0" fontId="51" fillId="23" borderId="0" xfId="3" applyFont="1" applyFill="1" applyAlignment="1">
      <alignment vertical="center" wrapText="1"/>
    </xf>
    <xf numFmtId="0" fontId="74" fillId="22" borderId="0" xfId="3" applyFont="1" applyFill="1" applyAlignment="1">
      <alignment horizontal="center" vertical="center"/>
    </xf>
    <xf numFmtId="0" fontId="75" fillId="23" borderId="0" xfId="3" applyFont="1" applyFill="1" applyAlignment="1">
      <alignment vertical="center"/>
    </xf>
    <xf numFmtId="0" fontId="79" fillId="20" borderId="0" xfId="3" applyFont="1" applyFill="1" applyAlignment="1">
      <alignment vertical="center" wrapText="1" indent="1"/>
    </xf>
    <xf numFmtId="0" fontId="76" fillId="23" borderId="0" xfId="3" applyFont="1" applyFill="1" applyAlignment="1">
      <alignment horizontal="center" vertical="center"/>
    </xf>
    <xf numFmtId="0" fontId="77" fillId="20" borderId="0" xfId="3" applyFont="1" applyFill="1" applyAlignment="1">
      <alignment vertical="center" wrapText="1"/>
    </xf>
    <xf numFmtId="0" fontId="78" fillId="20" borderId="0" xfId="3" applyFont="1" applyFill="1" applyAlignment="1">
      <alignment vertical="center" wrapText="1" indent="1"/>
    </xf>
    <xf numFmtId="0" fontId="32" fillId="2" borderId="62" xfId="2" applyFont="1" applyFill="1" applyBorder="1" applyAlignment="1">
      <alignment horizontal="left" vertical="center" indent="1"/>
    </xf>
    <xf numFmtId="0" fontId="32" fillId="2" borderId="63" xfId="2" applyFont="1" applyFill="1" applyBorder="1" applyAlignment="1">
      <alignment horizontal="left" vertical="center"/>
    </xf>
  </cellXfs>
  <cellStyles count="4">
    <cellStyle name="Hyperlink" xfId="1" builtinId="8"/>
    <cellStyle name="Normal" xfId="0" builtinId="0"/>
    <cellStyle name="Normal 2" xfId="2" xr:uid="{308AD68B-7CF1-4543-82CC-05C152874E6D}"/>
    <cellStyle name="Normal 3" xfId="3" xr:uid="{49D19B68-F3E7-474D-92DD-439E6ECE3BD4}"/>
  </cellStyles>
  <dxfs count="0"/>
  <tableStyles count="0" defaultTableStyle="TableStyleMedium2" defaultPivotStyle="PivotStyleLight16"/>
  <colors>
    <mruColors>
      <color rgb="FFFFEB9C"/>
      <color rgb="FFC6EFCE"/>
      <color rgb="FFFFC7CE"/>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13</c:v>
                </c:pt>
                <c:pt idx="2">
                  <c:v>3</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7</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1</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12960</xdr:colOff>
      <xdr:row>22</xdr:row>
      <xdr:rowOff>1</xdr:rowOff>
    </xdr:from>
    <xdr:to>
      <xdr:col>3</xdr:col>
      <xdr:colOff>868265</xdr:colOff>
      <xdr:row>26</xdr:row>
      <xdr:rowOff>116632</xdr:rowOff>
    </xdr:to>
    <xdr:sp macro="" textlink="">
      <xdr:nvSpPr>
        <xdr:cNvPr id="2" name="TextBox 1">
          <a:extLst>
            <a:ext uri="{FF2B5EF4-FFF2-40B4-BE49-F238E27FC236}">
              <a16:creationId xmlns:a16="http://schemas.microsoft.com/office/drawing/2014/main" id="{2E27DFA2-5A00-DB76-449B-61EE6917A658}"/>
            </a:ext>
          </a:extLst>
        </xdr:cNvPr>
        <xdr:cNvSpPr txBox="1"/>
      </xdr:nvSpPr>
      <xdr:spPr>
        <a:xfrm>
          <a:off x="1023776" y="32747858"/>
          <a:ext cx="6038979" cy="1153366"/>
        </a:xfrm>
        <a:prstGeom prst="rect">
          <a:avLst/>
        </a:prstGeom>
        <a:solidFill>
          <a:srgbClr val="FFEB9C">
            <a:alpha val="18000"/>
          </a:srgb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b="1"/>
            <a:t>Severity Ratings </a:t>
          </a:r>
        </a:p>
        <a:p>
          <a:endParaRPr lang="en-AU"/>
        </a:p>
        <a:p>
          <a:r>
            <a:rPr lang="en-AU"/>
            <a:t>Severity (column J): ⭐ = 1 (Minimal) to ⭐⭐⭐⭐⭐ = 5 (Critical), rating the significance of the documentation gap</a:t>
          </a:r>
          <a:r>
            <a:rPr lang="en-AU" baseline="0"/>
            <a:t> </a:t>
          </a:r>
          <a:r>
            <a:rPr lang="en-AU"/>
            <a:t>(graded under ISO 19011:2018, cl. 6.4.8).</a:t>
          </a:r>
        </a:p>
        <a:p>
          <a:endParaRPr lang="en-AU"/>
        </a:p>
        <a:p>
          <a:r>
            <a:rPr lang="en-AU"/>
            <a:t>Definitions are in the Rating Criteria sheet.</a:t>
          </a:r>
          <a:endParaRPr lang="en-GB" sz="11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6"/>
  <sheetViews>
    <sheetView workbookViewId="0">
      <selection activeCell="A5" sqref="A5:B5"/>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17" t="s">
        <v>334</v>
      </c>
      <c r="B1" s="216"/>
    </row>
    <row r="2" spans="1:2" ht="26" customHeight="1" x14ac:dyDescent="0.2">
      <c r="A2" s="218" t="s">
        <v>335</v>
      </c>
      <c r="B2" s="216"/>
    </row>
    <row r="3" spans="1:2" ht="20" customHeight="1" x14ac:dyDescent="0.2">
      <c r="A3" s="219" t="s">
        <v>458</v>
      </c>
      <c r="B3" s="216"/>
    </row>
    <row r="4" spans="1:2" ht="6" hidden="1" customHeight="1" x14ac:dyDescent="0.2">
      <c r="A4" s="220"/>
      <c r="B4" s="216"/>
    </row>
    <row r="5" spans="1:2" ht="100" customHeight="1" x14ac:dyDescent="0.2">
      <c r="A5" s="221" t="s">
        <v>514</v>
      </c>
      <c r="B5" s="216"/>
    </row>
    <row r="6" spans="1:2" ht="10" customHeight="1" x14ac:dyDescent="0.2"/>
    <row r="7" spans="1:2" ht="24" customHeight="1" x14ac:dyDescent="0.2">
      <c r="A7" s="215" t="s">
        <v>336</v>
      </c>
      <c r="B7" s="216"/>
    </row>
    <row r="8" spans="1:2" ht="4" customHeight="1" x14ac:dyDescent="0.2"/>
    <row r="9" spans="1:2" ht="20" customHeight="1" x14ac:dyDescent="0.2">
      <c r="A9" s="134" t="s">
        <v>337</v>
      </c>
      <c r="B9" s="134" t="s">
        <v>170</v>
      </c>
    </row>
    <row r="10" spans="1:2" ht="20" customHeight="1" x14ac:dyDescent="0.2">
      <c r="A10" s="135" t="s">
        <v>0</v>
      </c>
      <c r="B10" s="136" t="s">
        <v>338</v>
      </c>
    </row>
    <row r="11" spans="1:2" ht="51" x14ac:dyDescent="0.2">
      <c r="A11" s="137" t="s">
        <v>1</v>
      </c>
      <c r="B11" s="214" t="s">
        <v>523</v>
      </c>
    </row>
    <row r="12" spans="1:2" ht="20" customHeight="1" x14ac:dyDescent="0.2">
      <c r="A12" s="135" t="s">
        <v>506</v>
      </c>
      <c r="B12" s="136" t="s">
        <v>505</v>
      </c>
    </row>
    <row r="13" spans="1:2" ht="20" customHeight="1" x14ac:dyDescent="0.2">
      <c r="A13" s="137" t="s">
        <v>3</v>
      </c>
      <c r="B13" s="138" t="s">
        <v>339</v>
      </c>
    </row>
    <row r="14" spans="1:2" ht="20" customHeight="1" x14ac:dyDescent="0.2">
      <c r="A14" s="135" t="s">
        <v>380</v>
      </c>
      <c r="B14" s="136" t="s">
        <v>340</v>
      </c>
    </row>
    <row r="15" spans="1:2" ht="20" customHeight="1" x14ac:dyDescent="0.2">
      <c r="A15" s="137" t="s">
        <v>5</v>
      </c>
      <c r="B15" s="138" t="s">
        <v>341</v>
      </c>
    </row>
    <row r="16" spans="1:2" ht="20" customHeight="1" x14ac:dyDescent="0.2">
      <c r="A16" s="135" t="s">
        <v>6</v>
      </c>
      <c r="B16" s="136" t="s">
        <v>342</v>
      </c>
    </row>
    <row r="17" spans="1:2" ht="10" customHeight="1" x14ac:dyDescent="0.2"/>
    <row r="18" spans="1:2" ht="24" customHeight="1" x14ac:dyDescent="0.2">
      <c r="A18" s="215" t="s">
        <v>343</v>
      </c>
      <c r="B18" s="216"/>
    </row>
    <row r="19" spans="1:2" ht="4" customHeight="1" x14ac:dyDescent="0.2"/>
    <row r="20" spans="1:2" ht="20" customHeight="1" x14ac:dyDescent="0.2">
      <c r="A20" s="135" t="s">
        <v>344</v>
      </c>
      <c r="B20" s="139" t="s">
        <v>345</v>
      </c>
    </row>
    <row r="21" spans="1:2" ht="30" x14ac:dyDescent="0.2">
      <c r="A21" s="137" t="s">
        <v>346</v>
      </c>
      <c r="B21" s="140" t="s">
        <v>347</v>
      </c>
    </row>
    <row r="22" spans="1:2" ht="30" x14ac:dyDescent="0.2">
      <c r="A22" s="135" t="s">
        <v>348</v>
      </c>
      <c r="B22" s="139" t="s">
        <v>349</v>
      </c>
    </row>
    <row r="23" spans="1:2" ht="30" x14ac:dyDescent="0.2">
      <c r="A23" s="137" t="s">
        <v>350</v>
      </c>
      <c r="B23" s="140" t="s">
        <v>351</v>
      </c>
    </row>
    <row r="24" spans="1:2" ht="30" x14ac:dyDescent="0.2">
      <c r="A24" s="135" t="s">
        <v>352</v>
      </c>
      <c r="B24" s="139" t="s">
        <v>353</v>
      </c>
    </row>
    <row r="25" spans="1:2" ht="10" customHeight="1" x14ac:dyDescent="0.2"/>
    <row r="26" spans="1:2" ht="24" customHeight="1" x14ac:dyDescent="0.2">
      <c r="A26" s="215" t="s">
        <v>354</v>
      </c>
      <c r="B26" s="216"/>
    </row>
    <row r="27" spans="1:2" ht="4" customHeight="1" x14ac:dyDescent="0.2"/>
    <row r="28" spans="1:2" ht="20" customHeight="1" x14ac:dyDescent="0.2">
      <c r="A28" s="135" t="s">
        <v>355</v>
      </c>
      <c r="B28" s="141" t="s">
        <v>356</v>
      </c>
    </row>
    <row r="29" spans="1:2" ht="20" customHeight="1" x14ac:dyDescent="0.2">
      <c r="A29" s="137" t="s">
        <v>357</v>
      </c>
      <c r="B29" s="142" t="s">
        <v>358</v>
      </c>
    </row>
    <row r="30" spans="1:2" ht="20" customHeight="1" x14ac:dyDescent="0.2">
      <c r="A30" s="135" t="s">
        <v>359</v>
      </c>
      <c r="B30" s="141" t="s">
        <v>360</v>
      </c>
    </row>
    <row r="31" spans="1:2" ht="20" customHeight="1" x14ac:dyDescent="0.2">
      <c r="A31" s="137" t="s">
        <v>361</v>
      </c>
      <c r="B31" s="138" t="s">
        <v>362</v>
      </c>
    </row>
    <row r="32" spans="1:2" ht="20" customHeight="1" x14ac:dyDescent="0.2">
      <c r="A32" s="135" t="s">
        <v>363</v>
      </c>
      <c r="B32" s="139" t="s">
        <v>375</v>
      </c>
    </row>
    <row r="33" spans="1:2" ht="10" customHeight="1" x14ac:dyDescent="0.2"/>
    <row r="34" spans="1:2" ht="24" customHeight="1" x14ac:dyDescent="0.2">
      <c r="A34" s="215" t="s">
        <v>364</v>
      </c>
      <c r="B34" s="216"/>
    </row>
    <row r="35" spans="1:2" ht="4" customHeight="1" x14ac:dyDescent="0.2"/>
    <row r="36" spans="1:2" ht="20" customHeight="1" x14ac:dyDescent="0.2">
      <c r="A36" s="135" t="s">
        <v>365</v>
      </c>
      <c r="B36" s="139" t="s">
        <v>366</v>
      </c>
    </row>
    <row r="37" spans="1:2" ht="34" customHeight="1" x14ac:dyDescent="0.2">
      <c r="A37" s="137" t="s">
        <v>367</v>
      </c>
      <c r="B37" s="138" t="s">
        <v>521</v>
      </c>
    </row>
    <row r="38" spans="1:2" ht="20" customHeight="1" x14ac:dyDescent="0.2">
      <c r="A38" s="135" t="s">
        <v>368</v>
      </c>
      <c r="B38" s="139" t="s">
        <v>369</v>
      </c>
    </row>
    <row r="39" spans="1:2" ht="10" customHeight="1" x14ac:dyDescent="0.2"/>
    <row r="40" spans="1:2" ht="24" customHeight="1" x14ac:dyDescent="0.2">
      <c r="A40" s="215" t="s">
        <v>370</v>
      </c>
      <c r="B40" s="216"/>
    </row>
    <row r="41" spans="1:2" ht="4" customHeight="1" x14ac:dyDescent="0.2"/>
    <row r="42" spans="1:2" ht="36" customHeight="1" x14ac:dyDescent="0.2">
      <c r="A42" s="222" t="s">
        <v>371</v>
      </c>
      <c r="B42" s="216"/>
    </row>
    <row r="43" spans="1:2" ht="4" customHeight="1" x14ac:dyDescent="0.2"/>
    <row r="44" spans="1:2" ht="20" customHeight="1" x14ac:dyDescent="0.2">
      <c r="A44" s="137" t="s">
        <v>372</v>
      </c>
      <c r="B44" s="140" t="s">
        <v>373</v>
      </c>
    </row>
    <row r="46" spans="1:2" ht="16" customHeight="1" x14ac:dyDescent="0.2">
      <c r="A46" s="213" t="s">
        <v>522</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6"/>
  <sheetViews>
    <sheetView workbookViewId="0">
      <pane ySplit="1" topLeftCell="A2" activePane="bottomLeft" state="frozen"/>
      <selection pane="bottomLeft" activeCell="C38" sqref="C38"/>
    </sheetView>
  </sheetViews>
  <sheetFormatPr baseColWidth="10" defaultRowHeight="16" x14ac:dyDescent="0.2"/>
  <cols>
    <col min="1" max="1" width="32.33203125" customWidth="1"/>
    <col min="2" max="5" width="20" customWidth="1"/>
  </cols>
  <sheetData>
    <row r="1" spans="1:5" ht="45" customHeight="1" x14ac:dyDescent="0.2">
      <c r="A1" s="223" t="s">
        <v>61</v>
      </c>
      <c r="B1" s="224"/>
      <c r="C1" s="224"/>
      <c r="D1" s="224"/>
      <c r="E1" s="224"/>
    </row>
    <row r="2" spans="1:5" ht="10" customHeight="1" thickBot="1" x14ac:dyDescent="0.25">
      <c r="A2" s="61"/>
      <c r="B2" s="61"/>
      <c r="C2" s="61"/>
      <c r="D2" s="61"/>
      <c r="E2" s="61"/>
    </row>
    <row r="3" spans="1:5" ht="30" customHeight="1" thickBot="1" x14ac:dyDescent="0.25">
      <c r="A3" s="62" t="s">
        <v>62</v>
      </c>
      <c r="B3" s="63" t="s">
        <v>63</v>
      </c>
      <c r="C3" s="64" t="s">
        <v>64</v>
      </c>
      <c r="D3" s="64"/>
      <c r="E3" s="64"/>
    </row>
    <row r="4" spans="1:5" ht="24" customHeight="1" x14ac:dyDescent="0.2">
      <c r="A4" s="65" t="s">
        <v>267</v>
      </c>
      <c r="B4" s="66">
        <v>3</v>
      </c>
      <c r="C4" s="90">
        <f>B4/B7</f>
        <v>0.15789473684210525</v>
      </c>
    </row>
    <row r="5" spans="1:5" ht="24" customHeight="1" x14ac:dyDescent="0.2">
      <c r="A5" s="67" t="s">
        <v>278</v>
      </c>
      <c r="B5" s="68">
        <v>13</v>
      </c>
      <c r="C5" s="91">
        <f>B5/B7</f>
        <v>0.68421052631578949</v>
      </c>
    </row>
    <row r="6" spans="1:5" ht="24" customHeight="1" thickBot="1" x14ac:dyDescent="0.25">
      <c r="A6" s="69" t="s">
        <v>272</v>
      </c>
      <c r="B6" s="68">
        <v>3</v>
      </c>
      <c r="C6" s="91">
        <f>B6/B7</f>
        <v>0.15789473684210525</v>
      </c>
    </row>
    <row r="7" spans="1:5" ht="24" customHeight="1" thickBot="1" x14ac:dyDescent="0.25">
      <c r="A7" s="70" t="s">
        <v>65</v>
      </c>
      <c r="B7" s="71">
        <f>SUM(B4:B6)</f>
        <v>19</v>
      </c>
      <c r="C7" s="92">
        <f>SUM(C4:C6)</f>
        <v>1</v>
      </c>
    </row>
    <row r="8" spans="1:5" ht="14" customHeight="1" x14ac:dyDescent="0.2">
      <c r="A8" s="61"/>
      <c r="B8" s="61"/>
      <c r="C8" s="61"/>
      <c r="D8" s="61"/>
      <c r="E8" s="61"/>
    </row>
    <row r="9" spans="1:5" ht="30" customHeight="1" thickBot="1" x14ac:dyDescent="0.25">
      <c r="A9" s="72" t="s">
        <v>66</v>
      </c>
      <c r="B9" s="58" t="s">
        <v>8</v>
      </c>
      <c r="C9" s="59" t="s">
        <v>176</v>
      </c>
      <c r="D9" s="60" t="s">
        <v>30</v>
      </c>
      <c r="E9" s="73" t="s">
        <v>67</v>
      </c>
    </row>
    <row r="10" spans="1:5" ht="24" customHeight="1" x14ac:dyDescent="0.2">
      <c r="A10" s="74" t="s">
        <v>317</v>
      </c>
      <c r="B10" s="75">
        <v>2</v>
      </c>
      <c r="C10" s="75">
        <v>3</v>
      </c>
      <c r="D10" s="75">
        <v>0</v>
      </c>
      <c r="E10" s="76">
        <f>SUM(B10:D10)</f>
        <v>5</v>
      </c>
    </row>
    <row r="11" spans="1:5" ht="24" customHeight="1" x14ac:dyDescent="0.2">
      <c r="A11" s="77" t="s">
        <v>383</v>
      </c>
      <c r="B11" s="68">
        <v>0</v>
      </c>
      <c r="C11" s="68">
        <v>7</v>
      </c>
      <c r="D11" s="68">
        <v>1</v>
      </c>
      <c r="E11" s="78">
        <f t="shared" ref="E11:E16" si="0">SUM(B11:D11)</f>
        <v>8</v>
      </c>
    </row>
    <row r="12" spans="1:5" ht="24" customHeight="1" x14ac:dyDescent="0.2">
      <c r="A12" s="79" t="s">
        <v>384</v>
      </c>
      <c r="B12" s="80">
        <v>0</v>
      </c>
      <c r="C12" s="80">
        <v>1</v>
      </c>
      <c r="D12" s="80">
        <v>0</v>
      </c>
      <c r="E12" s="81">
        <f t="shared" si="0"/>
        <v>1</v>
      </c>
    </row>
    <row r="13" spans="1:5" ht="24" customHeight="1" x14ac:dyDescent="0.2">
      <c r="A13" s="82" t="s">
        <v>316</v>
      </c>
      <c r="B13" s="68">
        <v>1</v>
      </c>
      <c r="C13" s="68">
        <v>0</v>
      </c>
      <c r="D13" s="68">
        <v>0</v>
      </c>
      <c r="E13" s="78">
        <v>1</v>
      </c>
    </row>
    <row r="14" spans="1:5" ht="24" customHeight="1" x14ac:dyDescent="0.2">
      <c r="A14" s="79" t="s">
        <v>318</v>
      </c>
      <c r="B14" s="80">
        <v>0</v>
      </c>
      <c r="C14" s="80">
        <v>1</v>
      </c>
      <c r="D14" s="80">
        <v>0</v>
      </c>
      <c r="E14" s="81">
        <v>1</v>
      </c>
    </row>
    <row r="15" spans="1:5" ht="24" customHeight="1" x14ac:dyDescent="0.2">
      <c r="A15" s="82" t="s">
        <v>332</v>
      </c>
      <c r="B15" s="68">
        <v>0</v>
      </c>
      <c r="C15" s="68">
        <v>1</v>
      </c>
      <c r="D15" s="68">
        <v>0</v>
      </c>
      <c r="E15" s="78">
        <v>1</v>
      </c>
    </row>
    <row r="16" spans="1:5" ht="24" customHeight="1" thickBot="1" x14ac:dyDescent="0.25">
      <c r="A16" s="79" t="s">
        <v>57</v>
      </c>
      <c r="B16" s="80">
        <v>0</v>
      </c>
      <c r="C16" s="80">
        <v>0</v>
      </c>
      <c r="D16" s="80">
        <v>2</v>
      </c>
      <c r="E16" s="81">
        <f t="shared" si="0"/>
        <v>2</v>
      </c>
    </row>
    <row r="17" spans="1:5" ht="24" customHeight="1" thickBot="1" x14ac:dyDescent="0.25">
      <c r="A17" s="83" t="s">
        <v>65</v>
      </c>
      <c r="B17" s="84">
        <f>SUM(B10:B16)</f>
        <v>3</v>
      </c>
      <c r="C17" s="84">
        <f>SUM(C10:C16)</f>
        <v>13</v>
      </c>
      <c r="D17" s="84">
        <f>SUM(D10:D16)</f>
        <v>3</v>
      </c>
      <c r="E17" s="85">
        <f>SUM(E10:E16)</f>
        <v>19</v>
      </c>
    </row>
    <row r="18" spans="1:5" ht="14" customHeight="1" x14ac:dyDescent="0.2">
      <c r="A18" s="61"/>
      <c r="B18" s="61"/>
      <c r="C18" s="61"/>
      <c r="D18" s="61"/>
      <c r="E18" s="61"/>
    </row>
    <row r="19" spans="1:5" ht="30" customHeight="1" thickBot="1" x14ac:dyDescent="0.25">
      <c r="A19" s="72" t="s">
        <v>68</v>
      </c>
      <c r="B19" s="73" t="s">
        <v>63</v>
      </c>
      <c r="C19" s="73" t="s">
        <v>69</v>
      </c>
      <c r="D19" s="73" t="s">
        <v>70</v>
      </c>
      <c r="E19" s="73" t="s">
        <v>71</v>
      </c>
    </row>
    <row r="20" spans="1:5" ht="24" customHeight="1" x14ac:dyDescent="0.2">
      <c r="A20" s="74" t="s">
        <v>317</v>
      </c>
      <c r="B20" s="66">
        <v>5</v>
      </c>
      <c r="C20" s="86">
        <v>2.2000000000000002</v>
      </c>
      <c r="D20" s="66">
        <v>1</v>
      </c>
      <c r="E20" s="87">
        <v>3</v>
      </c>
    </row>
    <row r="21" spans="1:5" ht="24" customHeight="1" x14ac:dyDescent="0.2">
      <c r="A21" s="77" t="s">
        <v>383</v>
      </c>
      <c r="B21" s="68">
        <v>8</v>
      </c>
      <c r="C21" s="88">
        <v>3.75</v>
      </c>
      <c r="D21" s="68">
        <v>3</v>
      </c>
      <c r="E21" s="89">
        <v>5</v>
      </c>
    </row>
    <row r="22" spans="1:5" ht="24" customHeight="1" x14ac:dyDescent="0.2">
      <c r="A22" s="79" t="s">
        <v>384</v>
      </c>
      <c r="B22" s="68">
        <v>1</v>
      </c>
      <c r="C22" s="88">
        <v>4</v>
      </c>
      <c r="D22" s="68">
        <v>4</v>
      </c>
      <c r="E22" s="89">
        <v>4</v>
      </c>
    </row>
    <row r="23" spans="1:5" ht="24" customHeight="1" x14ac:dyDescent="0.2">
      <c r="A23" s="82" t="s">
        <v>316</v>
      </c>
      <c r="B23" s="68">
        <v>1</v>
      </c>
      <c r="C23" s="88">
        <v>1</v>
      </c>
      <c r="D23" s="68">
        <v>1</v>
      </c>
      <c r="E23" s="89">
        <v>1</v>
      </c>
    </row>
    <row r="24" spans="1:5" ht="24" customHeight="1" x14ac:dyDescent="0.2">
      <c r="A24" s="79" t="s">
        <v>318</v>
      </c>
      <c r="B24" s="68">
        <v>1</v>
      </c>
      <c r="C24" s="88">
        <v>3</v>
      </c>
      <c r="D24" s="68">
        <v>3</v>
      </c>
      <c r="E24" s="89">
        <v>3</v>
      </c>
    </row>
    <row r="25" spans="1:5" ht="24" customHeight="1" x14ac:dyDescent="0.2">
      <c r="A25" s="82" t="s">
        <v>332</v>
      </c>
      <c r="B25" s="68">
        <v>1</v>
      </c>
      <c r="C25" s="88">
        <v>3</v>
      </c>
      <c r="D25" s="68">
        <v>3</v>
      </c>
      <c r="E25" s="89">
        <v>3</v>
      </c>
    </row>
    <row r="26" spans="1:5" ht="35" thickBot="1" x14ac:dyDescent="0.25">
      <c r="A26" s="143" t="s">
        <v>381</v>
      </c>
      <c r="B26" s="68">
        <v>2</v>
      </c>
      <c r="C26" s="88">
        <v>5</v>
      </c>
      <c r="D26" s="68">
        <v>5</v>
      </c>
      <c r="E26" s="89">
        <v>5</v>
      </c>
    </row>
    <row r="27" spans="1:5" ht="24" customHeight="1" thickBot="1" x14ac:dyDescent="0.25">
      <c r="A27" s="83" t="s">
        <v>72</v>
      </c>
      <c r="B27" s="84">
        <f>SUM(B20:B26)</f>
        <v>19</v>
      </c>
      <c r="C27" s="130">
        <f>SUMPRODUCT(B20:B26,C20:C26)/SUM(B20:B26)</f>
        <v>3.263157894736842</v>
      </c>
      <c r="D27" s="84">
        <v>1</v>
      </c>
      <c r="E27" s="85">
        <v>5</v>
      </c>
    </row>
    <row r="29" spans="1:5" ht="153" x14ac:dyDescent="0.2">
      <c r="A29" s="1" t="s">
        <v>524</v>
      </c>
    </row>
    <row r="36" spans="1:1" x14ac:dyDescent="0.2">
      <c r="A36" s="213" t="s">
        <v>515</v>
      </c>
    </row>
  </sheetData>
  <mergeCells count="1">
    <mergeCell ref="A1:E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5"/>
  <sheetViews>
    <sheetView workbookViewId="0">
      <pane ySplit="1" topLeftCell="A62" activePane="bottomLeft" state="frozen"/>
      <selection pane="bottomLeft" activeCell="B64" sqref="B64"/>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4"/>
  </cols>
  <sheetData>
    <row r="1" spans="1:4" ht="45" customHeight="1" x14ac:dyDescent="0.2">
      <c r="A1" s="261" t="s">
        <v>165</v>
      </c>
      <c r="B1" s="262"/>
      <c r="C1" s="262"/>
      <c r="D1" s="262"/>
    </row>
    <row r="2" spans="1:4" ht="8" customHeight="1" x14ac:dyDescent="0.2">
      <c r="A2" s="42"/>
      <c r="B2" s="42"/>
      <c r="C2" s="42"/>
      <c r="D2" s="42"/>
    </row>
    <row r="3" spans="1:4" ht="32" customHeight="1" x14ac:dyDescent="0.2">
      <c r="A3" s="259" t="s">
        <v>73</v>
      </c>
      <c r="B3" s="260"/>
      <c r="C3" s="260"/>
      <c r="D3" s="260"/>
    </row>
    <row r="4" spans="1:4" ht="8" customHeight="1" x14ac:dyDescent="0.2">
      <c r="A4" s="42"/>
      <c r="B4" s="42"/>
      <c r="C4" s="42"/>
      <c r="D4" s="42"/>
    </row>
    <row r="5" spans="1:4" ht="19" customHeight="1" x14ac:dyDescent="0.2">
      <c r="A5" s="263" t="s">
        <v>74</v>
      </c>
      <c r="B5" s="264"/>
      <c r="C5" s="264"/>
      <c r="D5" s="264"/>
    </row>
    <row r="6" spans="1:4" ht="8" customHeight="1" x14ac:dyDescent="0.2">
      <c r="A6" s="42"/>
      <c r="B6" s="42"/>
      <c r="C6" s="42"/>
      <c r="D6" s="42"/>
    </row>
    <row r="7" spans="1:4" ht="20" customHeight="1" x14ac:dyDescent="0.2">
      <c r="A7" s="265" t="s">
        <v>75</v>
      </c>
      <c r="B7" s="266"/>
      <c r="C7" s="266"/>
      <c r="D7" s="266"/>
    </row>
    <row r="8" spans="1:4" ht="8" customHeight="1" x14ac:dyDescent="0.2">
      <c r="A8" s="42"/>
      <c r="B8" s="42"/>
      <c r="C8" s="42"/>
      <c r="D8" s="42"/>
    </row>
    <row r="9" spans="1:4" ht="20" customHeight="1" x14ac:dyDescent="0.2">
      <c r="A9" s="267" t="s">
        <v>374</v>
      </c>
      <c r="B9" s="268"/>
      <c r="C9" s="268"/>
      <c r="D9" s="268"/>
    </row>
    <row r="10" spans="1:4" ht="8" customHeight="1" x14ac:dyDescent="0.2">
      <c r="A10" s="42"/>
      <c r="B10" s="42"/>
      <c r="C10" s="42"/>
      <c r="D10" s="42"/>
    </row>
    <row r="11" spans="1:4" ht="32" customHeight="1" x14ac:dyDescent="0.2">
      <c r="A11" s="259" t="s">
        <v>76</v>
      </c>
      <c r="B11" s="260"/>
      <c r="C11" s="260"/>
      <c r="D11" s="260"/>
    </row>
    <row r="12" spans="1:4" ht="8" customHeight="1" x14ac:dyDescent="0.2">
      <c r="A12" s="42"/>
      <c r="B12" s="42"/>
      <c r="C12" s="42"/>
      <c r="D12" s="42"/>
    </row>
    <row r="13" spans="1:4" ht="28" customHeight="1" thickBot="1" x14ac:dyDescent="0.25">
      <c r="A13" s="52" t="s">
        <v>273</v>
      </c>
      <c r="B13" s="41" t="s">
        <v>77</v>
      </c>
      <c r="C13" s="46" t="s">
        <v>78</v>
      </c>
    </row>
    <row r="14" spans="1:4" ht="48" customHeight="1" x14ac:dyDescent="0.2">
      <c r="A14" s="37">
        <v>1</v>
      </c>
      <c r="B14" s="33" t="s">
        <v>79</v>
      </c>
      <c r="C14" s="47" t="s">
        <v>80</v>
      </c>
    </row>
    <row r="15" spans="1:4" ht="63" customHeight="1" x14ac:dyDescent="0.2">
      <c r="A15" s="38">
        <v>2</v>
      </c>
      <c r="B15" s="34" t="s">
        <v>454</v>
      </c>
      <c r="C15" s="48" t="s">
        <v>455</v>
      </c>
    </row>
    <row r="16" spans="1:4" ht="64" x14ac:dyDescent="0.2">
      <c r="A16" s="39">
        <v>3</v>
      </c>
      <c r="B16" s="49" t="s">
        <v>461</v>
      </c>
      <c r="C16" s="49" t="s">
        <v>477</v>
      </c>
    </row>
    <row r="17" spans="1:4" ht="48" customHeight="1" x14ac:dyDescent="0.2">
      <c r="A17" s="38">
        <v>4</v>
      </c>
      <c r="B17" s="34" t="s">
        <v>81</v>
      </c>
      <c r="C17" s="48" t="s">
        <v>378</v>
      </c>
    </row>
    <row r="18" spans="1:4" ht="48" customHeight="1" x14ac:dyDescent="0.2">
      <c r="A18" s="39">
        <v>5</v>
      </c>
      <c r="B18" s="36" t="s">
        <v>82</v>
      </c>
      <c r="C18" s="49" t="s">
        <v>83</v>
      </c>
    </row>
    <row r="19" spans="1:4" ht="48" customHeight="1" x14ac:dyDescent="0.2">
      <c r="A19" s="38">
        <v>6</v>
      </c>
      <c r="B19" s="34" t="s">
        <v>84</v>
      </c>
      <c r="C19" s="48" t="s">
        <v>85</v>
      </c>
    </row>
    <row r="20" spans="1:4" ht="48" x14ac:dyDescent="0.2">
      <c r="A20" s="40">
        <v>7</v>
      </c>
      <c r="B20" s="35" t="s">
        <v>86</v>
      </c>
      <c r="C20" s="50" t="s">
        <v>409</v>
      </c>
    </row>
    <row r="21" spans="1:4" ht="8" customHeight="1" x14ac:dyDescent="0.2">
      <c r="A21" s="42"/>
      <c r="B21" s="42"/>
      <c r="C21" s="42"/>
      <c r="D21" s="42"/>
    </row>
    <row r="22" spans="1:4" ht="32" customHeight="1" x14ac:dyDescent="0.2">
      <c r="A22" s="259" t="s">
        <v>87</v>
      </c>
      <c r="B22" s="260"/>
      <c r="C22" s="260"/>
      <c r="D22" s="260"/>
    </row>
    <row r="23" spans="1:4" ht="8" customHeight="1" x14ac:dyDescent="0.2">
      <c r="A23" s="42"/>
      <c r="B23" s="42"/>
      <c r="C23" s="42"/>
      <c r="D23" s="42"/>
    </row>
    <row r="24" spans="1:4" ht="26" customHeight="1" x14ac:dyDescent="0.2">
      <c r="A24" s="242" t="s">
        <v>88</v>
      </c>
      <c r="B24" s="243"/>
      <c r="C24" s="243"/>
      <c r="D24" s="243"/>
    </row>
    <row r="25" spans="1:4" ht="8" customHeight="1" x14ac:dyDescent="0.2">
      <c r="A25" s="42"/>
      <c r="B25" s="42"/>
      <c r="C25" s="42"/>
      <c r="D25" s="42"/>
    </row>
    <row r="26" spans="1:4" ht="28" customHeight="1" thickBot="1" x14ac:dyDescent="0.25">
      <c r="A26" s="52" t="s">
        <v>89</v>
      </c>
      <c r="B26" s="41" t="s">
        <v>90</v>
      </c>
      <c r="C26" s="46" t="s">
        <v>91</v>
      </c>
    </row>
    <row r="27" spans="1:4" ht="42" customHeight="1" x14ac:dyDescent="0.2">
      <c r="A27" s="53" t="s">
        <v>92</v>
      </c>
      <c r="B27" s="33" t="s">
        <v>93</v>
      </c>
      <c r="C27" s="47" t="s">
        <v>94</v>
      </c>
    </row>
    <row r="28" spans="1:4" ht="42" customHeight="1" x14ac:dyDescent="0.2">
      <c r="A28" s="54" t="s">
        <v>95</v>
      </c>
      <c r="B28" s="34" t="s">
        <v>96</v>
      </c>
      <c r="C28" s="48" t="s">
        <v>97</v>
      </c>
    </row>
    <row r="29" spans="1:4" ht="42" customHeight="1" x14ac:dyDescent="0.2">
      <c r="A29" s="55" t="s">
        <v>98</v>
      </c>
      <c r="B29" s="35" t="s">
        <v>99</v>
      </c>
      <c r="C29" s="50" t="s">
        <v>100</v>
      </c>
    </row>
    <row r="30" spans="1:4" ht="8" customHeight="1" x14ac:dyDescent="0.2">
      <c r="A30" s="42"/>
      <c r="B30" s="42"/>
      <c r="C30" s="42"/>
      <c r="D30" s="42"/>
    </row>
    <row r="31" spans="1:4" ht="26" customHeight="1" x14ac:dyDescent="0.2">
      <c r="A31" s="242" t="s">
        <v>101</v>
      </c>
      <c r="B31" s="243"/>
      <c r="C31" s="243"/>
      <c r="D31" s="243"/>
    </row>
    <row r="32" spans="1:4" ht="8" customHeight="1" x14ac:dyDescent="0.2">
      <c r="A32" s="42"/>
      <c r="B32" s="42"/>
      <c r="C32" s="42"/>
      <c r="D32" s="42"/>
    </row>
    <row r="33" spans="1:4" ht="28" customHeight="1" thickBot="1" x14ac:dyDescent="0.25">
      <c r="A33" s="52" t="s">
        <v>102</v>
      </c>
      <c r="B33" s="41" t="s">
        <v>90</v>
      </c>
      <c r="C33" s="46" t="s">
        <v>91</v>
      </c>
    </row>
    <row r="34" spans="1:4" ht="42" customHeight="1" x14ac:dyDescent="0.2">
      <c r="A34" s="53" t="s">
        <v>103</v>
      </c>
      <c r="B34" s="33" t="s">
        <v>104</v>
      </c>
      <c r="C34" s="47" t="s">
        <v>105</v>
      </c>
    </row>
    <row r="35" spans="1:4" ht="42" customHeight="1" x14ac:dyDescent="0.2">
      <c r="A35" s="54" t="s">
        <v>106</v>
      </c>
      <c r="B35" s="34" t="s">
        <v>107</v>
      </c>
      <c r="C35" s="48" t="s">
        <v>108</v>
      </c>
    </row>
    <row r="36" spans="1:4" ht="42" customHeight="1" x14ac:dyDescent="0.2">
      <c r="A36" s="55" t="s">
        <v>109</v>
      </c>
      <c r="B36" s="34" t="s">
        <v>419</v>
      </c>
      <c r="C36" s="50" t="s">
        <v>420</v>
      </c>
    </row>
    <row r="37" spans="1:4" ht="8" customHeight="1" x14ac:dyDescent="0.2">
      <c r="A37" s="42"/>
      <c r="B37" s="42"/>
      <c r="C37" s="42"/>
      <c r="D37" s="42"/>
    </row>
    <row r="38" spans="1:4" ht="26" customHeight="1" x14ac:dyDescent="0.2">
      <c r="A38" s="242" t="s">
        <v>110</v>
      </c>
      <c r="B38" s="243"/>
      <c r="C38" s="243"/>
      <c r="D38" s="243"/>
    </row>
    <row r="39" spans="1:4" ht="8" customHeight="1" x14ac:dyDescent="0.2">
      <c r="A39" s="42"/>
      <c r="B39" s="42"/>
      <c r="C39" s="42"/>
      <c r="D39" s="42"/>
    </row>
    <row r="40" spans="1:4" ht="28" customHeight="1" thickBot="1" x14ac:dyDescent="0.25">
      <c r="A40" s="52" t="s">
        <v>102</v>
      </c>
      <c r="B40" s="41" t="s">
        <v>90</v>
      </c>
      <c r="C40" s="46" t="s">
        <v>91</v>
      </c>
    </row>
    <row r="41" spans="1:4" ht="48" x14ac:dyDescent="0.2">
      <c r="A41" s="53" t="s">
        <v>111</v>
      </c>
      <c r="B41" s="33" t="s">
        <v>112</v>
      </c>
      <c r="C41" s="47" t="s">
        <v>113</v>
      </c>
    </row>
    <row r="42" spans="1:4" ht="48" x14ac:dyDescent="0.2">
      <c r="A42" s="54" t="s">
        <v>114</v>
      </c>
      <c r="B42" s="34" t="s">
        <v>115</v>
      </c>
      <c r="C42" s="48" t="s">
        <v>116</v>
      </c>
    </row>
    <row r="43" spans="1:4" ht="42" customHeight="1" x14ac:dyDescent="0.2">
      <c r="A43" s="55" t="s">
        <v>117</v>
      </c>
      <c r="B43" s="35" t="s">
        <v>118</v>
      </c>
      <c r="C43" s="50" t="s">
        <v>119</v>
      </c>
    </row>
    <row r="44" spans="1:4" ht="8" customHeight="1" x14ac:dyDescent="0.2">
      <c r="A44" s="42"/>
      <c r="B44" s="42"/>
      <c r="C44" s="42"/>
      <c r="D44" s="42"/>
    </row>
    <row r="45" spans="1:4" ht="26" customHeight="1" x14ac:dyDescent="0.2">
      <c r="A45" s="242" t="s">
        <v>120</v>
      </c>
      <c r="B45" s="243"/>
      <c r="C45" s="243"/>
      <c r="D45" s="243"/>
    </row>
    <row r="46" spans="1:4" ht="8" customHeight="1" x14ac:dyDescent="0.2">
      <c r="A46" s="42"/>
      <c r="B46" s="42"/>
      <c r="C46" s="42"/>
      <c r="D46" s="42"/>
    </row>
    <row r="47" spans="1:4" ht="28" customHeight="1" thickBot="1" x14ac:dyDescent="0.25">
      <c r="A47" s="52" t="s">
        <v>121</v>
      </c>
      <c r="B47" s="41" t="s">
        <v>90</v>
      </c>
      <c r="C47" s="46" t="s">
        <v>122</v>
      </c>
    </row>
    <row r="48" spans="1:4" ht="48" x14ac:dyDescent="0.2">
      <c r="A48" s="53" t="s">
        <v>123</v>
      </c>
      <c r="B48" s="33" t="s">
        <v>124</v>
      </c>
      <c r="C48" s="47" t="s">
        <v>125</v>
      </c>
    </row>
    <row r="49" spans="1:4" ht="42" customHeight="1" x14ac:dyDescent="0.2">
      <c r="A49" s="54" t="s">
        <v>126</v>
      </c>
      <c r="B49" s="34" t="s">
        <v>127</v>
      </c>
      <c r="C49" s="48" t="s">
        <v>128</v>
      </c>
    </row>
    <row r="50" spans="1:4" ht="42" customHeight="1" x14ac:dyDescent="0.2">
      <c r="A50" s="55" t="s">
        <v>129</v>
      </c>
      <c r="B50" s="35" t="s">
        <v>130</v>
      </c>
      <c r="C50" s="50" t="s">
        <v>131</v>
      </c>
    </row>
    <row r="51" spans="1:4" ht="8" customHeight="1" x14ac:dyDescent="0.2">
      <c r="A51" s="42"/>
      <c r="B51" s="42"/>
      <c r="C51" s="42"/>
      <c r="D51" s="42"/>
    </row>
    <row r="52" spans="1:4" ht="8" customHeight="1" x14ac:dyDescent="0.2">
      <c r="A52" s="42"/>
      <c r="B52" s="42"/>
      <c r="C52" s="42"/>
      <c r="D52" s="42"/>
    </row>
    <row r="53" spans="1:4" ht="32" customHeight="1" x14ac:dyDescent="0.2">
      <c r="A53" s="259" t="s">
        <v>132</v>
      </c>
      <c r="B53" s="260"/>
      <c r="C53" s="260"/>
      <c r="D53" s="260"/>
    </row>
    <row r="54" spans="1:4" ht="8" customHeight="1" thickBot="1" x14ac:dyDescent="0.25">
      <c r="A54" s="43"/>
      <c r="B54" s="43"/>
      <c r="C54" s="43"/>
      <c r="D54" s="43"/>
    </row>
    <row r="55" spans="1:4" ht="26" customHeight="1" x14ac:dyDescent="0.2">
      <c r="A55" s="236" t="s">
        <v>133</v>
      </c>
      <c r="B55" s="237"/>
      <c r="C55" s="237"/>
      <c r="D55" s="238"/>
    </row>
    <row r="56" spans="1:4" ht="80" customHeight="1" x14ac:dyDescent="0.2">
      <c r="A56" s="239" t="s">
        <v>382</v>
      </c>
      <c r="B56" s="240"/>
      <c r="C56" s="240"/>
      <c r="D56" s="241"/>
    </row>
    <row r="57" spans="1:4" ht="8" customHeight="1" x14ac:dyDescent="0.2">
      <c r="A57" s="42"/>
      <c r="B57" s="42"/>
      <c r="C57" s="42"/>
      <c r="D57" s="42"/>
    </row>
    <row r="58" spans="1:4" ht="26" customHeight="1" x14ac:dyDescent="0.2">
      <c r="A58" s="242" t="s">
        <v>134</v>
      </c>
      <c r="B58" s="243"/>
      <c r="C58" s="243"/>
      <c r="D58" s="243"/>
    </row>
    <row r="59" spans="1:4" ht="8" customHeight="1" x14ac:dyDescent="0.2">
      <c r="A59" s="42"/>
      <c r="B59" s="44"/>
      <c r="C59" s="44"/>
      <c r="D59" s="42"/>
    </row>
    <row r="60" spans="1:4" ht="28" customHeight="1" thickBot="1" x14ac:dyDescent="0.25">
      <c r="A60" s="56" t="s">
        <v>135</v>
      </c>
      <c r="B60" s="41" t="s">
        <v>136</v>
      </c>
      <c r="C60" s="41" t="s">
        <v>137</v>
      </c>
      <c r="D60" s="51" t="s">
        <v>138</v>
      </c>
    </row>
    <row r="61" spans="1:4" ht="65" customHeight="1" x14ac:dyDescent="0.2">
      <c r="A61" s="53" t="s">
        <v>139</v>
      </c>
      <c r="B61" s="33" t="s">
        <v>140</v>
      </c>
      <c r="C61" s="33" t="s">
        <v>141</v>
      </c>
      <c r="D61" s="47" t="s">
        <v>142</v>
      </c>
    </row>
    <row r="62" spans="1:4" ht="65" customHeight="1" x14ac:dyDescent="0.2">
      <c r="A62" s="54" t="s">
        <v>143</v>
      </c>
      <c r="B62" s="34" t="s">
        <v>144</v>
      </c>
      <c r="C62" s="34" t="s">
        <v>145</v>
      </c>
      <c r="D62" s="48" t="s">
        <v>146</v>
      </c>
    </row>
    <row r="63" spans="1:4" ht="65" customHeight="1" x14ac:dyDescent="0.2">
      <c r="A63" s="57" t="s">
        <v>456</v>
      </c>
      <c r="B63" s="36" t="s">
        <v>450</v>
      </c>
      <c r="C63" s="36" t="s">
        <v>451</v>
      </c>
      <c r="D63" s="49" t="s">
        <v>452</v>
      </c>
    </row>
    <row r="64" spans="1:4" ht="65" customHeight="1" x14ac:dyDescent="0.2">
      <c r="A64" s="54" t="s">
        <v>147</v>
      </c>
      <c r="B64" s="34" t="s">
        <v>516</v>
      </c>
      <c r="C64" s="34" t="s">
        <v>379</v>
      </c>
      <c r="D64" s="48" t="s">
        <v>148</v>
      </c>
    </row>
    <row r="65" spans="1:4" ht="65" customHeight="1" x14ac:dyDescent="0.2">
      <c r="A65" s="57" t="s">
        <v>149</v>
      </c>
      <c r="B65" s="36" t="s">
        <v>150</v>
      </c>
      <c r="C65" s="36" t="s">
        <v>453</v>
      </c>
      <c r="D65" s="49" t="s">
        <v>151</v>
      </c>
    </row>
    <row r="66" spans="1:4" ht="8" customHeight="1" x14ac:dyDescent="0.2">
      <c r="A66" s="42"/>
      <c r="B66" s="42"/>
      <c r="C66" s="42"/>
      <c r="D66" s="42"/>
    </row>
    <row r="67" spans="1:4" ht="26" customHeight="1" x14ac:dyDescent="0.2">
      <c r="A67" s="243" t="s">
        <v>152</v>
      </c>
      <c r="B67" s="243"/>
      <c r="C67" s="243"/>
      <c r="D67" s="243"/>
    </row>
    <row r="68" spans="1:4" ht="8" customHeight="1" x14ac:dyDescent="0.2">
      <c r="A68" s="45"/>
      <c r="B68" s="45"/>
      <c r="C68" s="45"/>
      <c r="D68" s="45"/>
    </row>
    <row r="69" spans="1:4" ht="36" customHeight="1" x14ac:dyDescent="0.2">
      <c r="A69" s="244" t="s">
        <v>153</v>
      </c>
      <c r="B69" s="245"/>
      <c r="C69" s="245"/>
      <c r="D69" s="246"/>
    </row>
    <row r="70" spans="1:4" ht="8" customHeight="1" x14ac:dyDescent="0.2">
      <c r="A70" s="42"/>
      <c r="B70" s="42"/>
      <c r="C70" s="42"/>
      <c r="D70" s="42"/>
    </row>
    <row r="71" spans="1:4" ht="22" customHeight="1" x14ac:dyDescent="0.2">
      <c r="A71" s="247" t="s">
        <v>154</v>
      </c>
      <c r="B71" s="247"/>
      <c r="C71" s="247"/>
      <c r="D71" s="247"/>
    </row>
    <row r="72" spans="1:4" ht="8" customHeight="1" x14ac:dyDescent="0.2">
      <c r="A72" s="42"/>
      <c r="B72" s="42"/>
      <c r="C72" s="42"/>
      <c r="D72" s="42"/>
    </row>
    <row r="73" spans="1:4" ht="22" customHeight="1" x14ac:dyDescent="0.2">
      <c r="A73" s="248" t="s">
        <v>155</v>
      </c>
      <c r="B73" s="248"/>
      <c r="C73" s="248"/>
      <c r="D73" s="248"/>
    </row>
    <row r="74" spans="1:4" ht="22" customHeight="1" x14ac:dyDescent="0.2">
      <c r="A74" s="249" t="s">
        <v>156</v>
      </c>
      <c r="B74" s="249"/>
      <c r="C74" s="249"/>
      <c r="D74" s="249"/>
    </row>
    <row r="75" spans="1:4" ht="22" customHeight="1" x14ac:dyDescent="0.2">
      <c r="A75" s="248" t="s">
        <v>157</v>
      </c>
      <c r="B75" s="248"/>
      <c r="C75" s="248"/>
      <c r="D75" s="248"/>
    </row>
    <row r="76" spans="1:4" ht="26" customHeight="1" x14ac:dyDescent="0.2">
      <c r="A76" s="243" t="s">
        <v>457</v>
      </c>
      <c r="B76" s="243"/>
      <c r="C76" s="243"/>
      <c r="D76" s="243"/>
    </row>
    <row r="77" spans="1:4" ht="41" customHeight="1" x14ac:dyDescent="0.2">
      <c r="A77" s="256" t="s">
        <v>459</v>
      </c>
      <c r="B77" s="256"/>
      <c r="C77" s="256"/>
      <c r="D77" s="256"/>
    </row>
    <row r="78" spans="1:4" x14ac:dyDescent="0.2">
      <c r="A78" s="257"/>
      <c r="B78" s="258"/>
      <c r="C78" s="258"/>
      <c r="D78" s="258"/>
    </row>
    <row r="79" spans="1:4" ht="26" customHeight="1" x14ac:dyDescent="0.2">
      <c r="A79" s="250" t="s">
        <v>158</v>
      </c>
      <c r="B79" s="251"/>
      <c r="C79" s="251"/>
      <c r="D79" s="252"/>
    </row>
    <row r="80" spans="1:4" ht="80" customHeight="1" x14ac:dyDescent="0.2">
      <c r="A80" s="253" t="s">
        <v>274</v>
      </c>
      <c r="B80" s="254"/>
      <c r="C80" s="254"/>
      <c r="D80" s="255"/>
    </row>
    <row r="81" spans="1:4" ht="8" customHeight="1" x14ac:dyDescent="0.2">
      <c r="A81" s="128"/>
      <c r="B81" s="128"/>
      <c r="C81" s="128"/>
      <c r="D81" s="128"/>
    </row>
    <row r="82" spans="1:4" ht="32" customHeight="1" x14ac:dyDescent="0.2">
      <c r="A82" s="235" t="s">
        <v>159</v>
      </c>
      <c r="B82" s="235"/>
      <c r="C82" s="235"/>
      <c r="D82" s="235"/>
    </row>
    <row r="83" spans="1:4" ht="8" customHeight="1" x14ac:dyDescent="0.2">
      <c r="A83" s="129"/>
      <c r="B83" s="129"/>
      <c r="C83" s="129"/>
      <c r="D83" s="129"/>
    </row>
    <row r="84" spans="1:4" ht="60" customHeight="1" x14ac:dyDescent="0.2">
      <c r="A84" s="228" t="s">
        <v>410</v>
      </c>
      <c r="B84" s="229"/>
      <c r="C84" s="229"/>
      <c r="D84" s="230"/>
    </row>
    <row r="85" spans="1:4" ht="8" customHeight="1" x14ac:dyDescent="0.2">
      <c r="A85" s="128"/>
      <c r="B85" s="128"/>
      <c r="C85" s="128"/>
      <c r="D85" s="128"/>
    </row>
    <row r="86" spans="1:4" ht="22" customHeight="1" x14ac:dyDescent="0.2">
      <c r="A86" s="231" t="s">
        <v>160</v>
      </c>
      <c r="B86" s="231"/>
      <c r="C86" s="231"/>
      <c r="D86" s="231"/>
    </row>
    <row r="87" spans="1:4" ht="8" customHeight="1" x14ac:dyDescent="0.2">
      <c r="A87" s="128"/>
      <c r="B87" s="128"/>
      <c r="C87" s="128"/>
      <c r="D87" s="128"/>
    </row>
    <row r="88" spans="1:4" ht="36" customHeight="1" x14ac:dyDescent="0.2">
      <c r="A88" s="232" t="s">
        <v>161</v>
      </c>
      <c r="B88" s="232"/>
      <c r="C88" s="232"/>
      <c r="D88" s="232"/>
    </row>
    <row r="89" spans="1:4" ht="36" customHeight="1" x14ac:dyDescent="0.2">
      <c r="A89" s="233" t="s">
        <v>162</v>
      </c>
      <c r="B89" s="233"/>
      <c r="C89" s="233"/>
      <c r="D89" s="233"/>
    </row>
    <row r="90" spans="1:4" ht="36" customHeight="1" x14ac:dyDescent="0.2">
      <c r="A90" s="232" t="s">
        <v>163</v>
      </c>
      <c r="B90" s="232"/>
      <c r="C90" s="232"/>
      <c r="D90" s="232"/>
    </row>
    <row r="91" spans="1:4" ht="8" customHeight="1" x14ac:dyDescent="0.2">
      <c r="A91" s="128"/>
      <c r="B91" s="128"/>
      <c r="C91" s="128"/>
      <c r="D91" s="128"/>
    </row>
    <row r="92" spans="1:4" ht="20" customHeight="1" thickBot="1" x14ac:dyDescent="0.25">
      <c r="A92" s="234" t="s">
        <v>164</v>
      </c>
      <c r="B92" s="234"/>
      <c r="C92" s="234"/>
      <c r="D92" s="234"/>
    </row>
    <row r="93" spans="1:4" ht="20" customHeight="1" x14ac:dyDescent="0.2">
      <c r="A93" s="225" t="s">
        <v>449</v>
      </c>
      <c r="B93" s="225"/>
      <c r="C93" s="225"/>
      <c r="D93" s="225"/>
    </row>
    <row r="94" spans="1:4" ht="20" customHeight="1" x14ac:dyDescent="0.2">
      <c r="A94" s="226" t="s">
        <v>280</v>
      </c>
      <c r="B94" s="226"/>
      <c r="C94" s="226"/>
      <c r="D94" s="226"/>
    </row>
    <row r="95" spans="1:4" ht="20" customHeight="1" x14ac:dyDescent="0.2">
      <c r="A95" s="227" t="s">
        <v>281</v>
      </c>
      <c r="B95" s="227"/>
      <c r="C95" s="227"/>
      <c r="D95" s="227"/>
    </row>
  </sheetData>
  <mergeCells count="36">
    <mergeCell ref="A53:D53"/>
    <mergeCell ref="A1:D1"/>
    <mergeCell ref="A3:D3"/>
    <mergeCell ref="A5:D5"/>
    <mergeCell ref="A7:D7"/>
    <mergeCell ref="A9:D9"/>
    <mergeCell ref="A11:D11"/>
    <mergeCell ref="A22:D22"/>
    <mergeCell ref="A24:D24"/>
    <mergeCell ref="A31:D31"/>
    <mergeCell ref="A38:D38"/>
    <mergeCell ref="A45:D45"/>
    <mergeCell ref="A82:D82"/>
    <mergeCell ref="A55:D55"/>
    <mergeCell ref="A56:D56"/>
    <mergeCell ref="A58:D58"/>
    <mergeCell ref="A67:D67"/>
    <mergeCell ref="A69:D69"/>
    <mergeCell ref="A71:D71"/>
    <mergeCell ref="A73:D73"/>
    <mergeCell ref="A74:D74"/>
    <mergeCell ref="A75:D75"/>
    <mergeCell ref="A79:D79"/>
    <mergeCell ref="A80:D80"/>
    <mergeCell ref="A76:D76"/>
    <mergeCell ref="A77:D77"/>
    <mergeCell ref="A78:D78"/>
    <mergeCell ref="A93:D93"/>
    <mergeCell ref="A94:D94"/>
    <mergeCell ref="A95:D95"/>
    <mergeCell ref="A84:D84"/>
    <mergeCell ref="A86:D86"/>
    <mergeCell ref="A88:D88"/>
    <mergeCell ref="A89:D89"/>
    <mergeCell ref="A90:D90"/>
    <mergeCell ref="A92:D92"/>
  </mergeCells>
  <hyperlinks>
    <hyperlink ref="A7" r:id="rId1" xr:uid="{AE7DFB3D-A219-D34C-8AF5-0187FD13EE97}"/>
    <hyperlink ref="A92"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31EB5-E1FA-4C4A-B52E-BBAB7FC0DF08}">
  <dimension ref="A1:E136"/>
  <sheetViews>
    <sheetView zoomScaleNormal="100" workbookViewId="0">
      <pane ySplit="1" topLeftCell="A43" activePane="bottomLeft" state="frozen"/>
      <selection pane="bottomLeft" activeCell="A45" sqref="A45"/>
    </sheetView>
  </sheetViews>
  <sheetFormatPr baseColWidth="10" defaultColWidth="10.83203125" defaultRowHeight="16" x14ac:dyDescent="0.2"/>
  <cols>
    <col min="1" max="1" width="58.33203125" style="150" customWidth="1"/>
    <col min="2" max="2" width="52" style="181" customWidth="1"/>
    <col min="3" max="3" width="46.6640625" style="150" customWidth="1"/>
    <col min="4" max="4" width="41.6640625" style="150" customWidth="1"/>
    <col min="5" max="5" width="50" style="150" customWidth="1"/>
    <col min="6" max="16384" width="10.83203125" style="150"/>
  </cols>
  <sheetData>
    <row r="1" spans="1:5" ht="26" x14ac:dyDescent="0.2">
      <c r="A1" s="270" t="s">
        <v>275</v>
      </c>
      <c r="B1" s="270"/>
      <c r="C1" s="270"/>
      <c r="D1" s="270"/>
      <c r="E1" s="270"/>
    </row>
    <row r="2" spans="1:5" ht="7.5" customHeight="1" x14ac:dyDescent="0.2">
      <c r="A2" s="151"/>
      <c r="B2" s="152"/>
      <c r="C2" s="151"/>
      <c r="D2" s="151"/>
      <c r="E2" s="151"/>
    </row>
    <row r="3" spans="1:5" ht="31.5" customHeight="1" thickBot="1" x14ac:dyDescent="0.25">
      <c r="A3" s="269" t="s">
        <v>166</v>
      </c>
      <c r="B3" s="269"/>
      <c r="C3" s="269"/>
      <c r="D3" s="269"/>
      <c r="E3" s="269"/>
    </row>
    <row r="4" spans="1:5" ht="7.5" customHeight="1" x14ac:dyDescent="0.2">
      <c r="A4" s="153"/>
      <c r="B4" s="154"/>
      <c r="C4" s="153"/>
      <c r="D4" s="153"/>
      <c r="E4" s="153"/>
    </row>
    <row r="5" spans="1:5" ht="36" customHeight="1" x14ac:dyDescent="0.2">
      <c r="A5" s="271" t="s">
        <v>319</v>
      </c>
      <c r="B5" s="271"/>
      <c r="C5" s="271"/>
      <c r="D5" s="271"/>
      <c r="E5" s="271"/>
    </row>
    <row r="6" spans="1:5" ht="7.5" customHeight="1" x14ac:dyDescent="0.2">
      <c r="A6" s="151"/>
      <c r="B6" s="152"/>
      <c r="C6" s="151"/>
      <c r="D6" s="151"/>
      <c r="E6" s="151"/>
    </row>
    <row r="7" spans="1:5" ht="7.5" customHeight="1" x14ac:dyDescent="0.2">
      <c r="A7" s="151"/>
      <c r="B7" s="152"/>
      <c r="C7" s="151"/>
      <c r="D7" s="151"/>
      <c r="E7" s="151"/>
    </row>
    <row r="8" spans="1:5" ht="7.5" customHeight="1" x14ac:dyDescent="0.2">
      <c r="A8" s="151"/>
      <c r="B8" s="152"/>
      <c r="C8" s="151"/>
      <c r="D8" s="151"/>
      <c r="E8" s="151"/>
    </row>
    <row r="9" spans="1:5" ht="31.5" customHeight="1" thickBot="1" x14ac:dyDescent="0.25">
      <c r="A9" s="269" t="s">
        <v>167</v>
      </c>
      <c r="B9" s="269"/>
      <c r="C9" s="269"/>
      <c r="D9" s="269"/>
      <c r="E9" s="269"/>
    </row>
    <row r="10" spans="1:5" ht="7.5" customHeight="1" x14ac:dyDescent="0.2">
      <c r="A10" s="153"/>
      <c r="B10" s="154"/>
      <c r="C10" s="153"/>
      <c r="D10" s="153"/>
      <c r="E10" s="153"/>
    </row>
    <row r="11" spans="1:5" ht="16.5" customHeight="1" thickBot="1" x14ac:dyDescent="0.25">
      <c r="A11" s="155" t="s">
        <v>168</v>
      </c>
      <c r="B11" s="156" t="s">
        <v>169</v>
      </c>
      <c r="C11" s="157" t="s">
        <v>170</v>
      </c>
      <c r="D11" s="157" t="s">
        <v>171</v>
      </c>
      <c r="E11" s="158" t="s">
        <v>172</v>
      </c>
    </row>
    <row r="12" spans="1:5" ht="79.5" customHeight="1" x14ac:dyDescent="0.2">
      <c r="A12" s="159" t="s">
        <v>267</v>
      </c>
      <c r="B12" s="160" t="s">
        <v>173</v>
      </c>
      <c r="C12" s="161" t="s">
        <v>174</v>
      </c>
      <c r="D12" s="161" t="s">
        <v>175</v>
      </c>
      <c r="E12" s="162" t="s">
        <v>443</v>
      </c>
    </row>
    <row r="13" spans="1:5" ht="96" customHeight="1" x14ac:dyDescent="0.2">
      <c r="A13" s="163" t="s">
        <v>278</v>
      </c>
      <c r="B13" s="164" t="s">
        <v>177</v>
      </c>
      <c r="C13" s="165" t="s">
        <v>436</v>
      </c>
      <c r="D13" s="165" t="s">
        <v>178</v>
      </c>
      <c r="E13" s="166" t="s">
        <v>444</v>
      </c>
    </row>
    <row r="14" spans="1:5" ht="96.75" customHeight="1" thickBot="1" x14ac:dyDescent="0.25">
      <c r="A14" s="167" t="s">
        <v>272</v>
      </c>
      <c r="B14" s="168" t="s">
        <v>179</v>
      </c>
      <c r="C14" s="169" t="s">
        <v>421</v>
      </c>
      <c r="D14" s="169" t="s">
        <v>422</v>
      </c>
      <c r="E14" s="210" t="s">
        <v>507</v>
      </c>
    </row>
    <row r="15" spans="1:5" ht="7.5" customHeight="1" x14ac:dyDescent="0.2">
      <c r="A15" s="153"/>
      <c r="B15" s="154"/>
      <c r="C15" s="153"/>
      <c r="D15" s="153"/>
      <c r="E15" s="153"/>
    </row>
    <row r="16" spans="1:5" ht="31.5" customHeight="1" thickBot="1" x14ac:dyDescent="0.25">
      <c r="A16" s="269" t="s">
        <v>180</v>
      </c>
      <c r="B16" s="269"/>
      <c r="C16" s="269"/>
      <c r="D16" s="269"/>
      <c r="E16" s="269"/>
    </row>
    <row r="17" spans="1:5" ht="7.5" customHeight="1" x14ac:dyDescent="0.2">
      <c r="A17" s="153"/>
      <c r="B17" s="154"/>
      <c r="C17" s="153"/>
      <c r="D17" s="153"/>
      <c r="E17" s="153"/>
    </row>
    <row r="18" spans="1:5" x14ac:dyDescent="0.2">
      <c r="A18" s="157" t="s">
        <v>181</v>
      </c>
      <c r="B18" s="170" t="s">
        <v>182</v>
      </c>
      <c r="C18" s="157" t="s">
        <v>183</v>
      </c>
      <c r="D18" s="157"/>
      <c r="E18" s="157"/>
    </row>
    <row r="19" spans="1:5" ht="63.75" customHeight="1" x14ac:dyDescent="0.2">
      <c r="A19" s="171" t="s">
        <v>184</v>
      </c>
      <c r="B19" s="172" t="s">
        <v>185</v>
      </c>
      <c r="C19" s="173" t="s">
        <v>428</v>
      </c>
      <c r="D19" s="151"/>
      <c r="E19" s="151"/>
    </row>
    <row r="20" spans="1:5" ht="84.75" customHeight="1" x14ac:dyDescent="0.2">
      <c r="A20" s="174" t="s">
        <v>186</v>
      </c>
      <c r="B20" s="175" t="s">
        <v>187</v>
      </c>
      <c r="C20" s="174" t="s">
        <v>423</v>
      </c>
      <c r="D20" s="151"/>
      <c r="E20" s="151"/>
    </row>
    <row r="21" spans="1:5" ht="67.5" customHeight="1" x14ac:dyDescent="0.2">
      <c r="A21" s="171" t="s">
        <v>188</v>
      </c>
      <c r="B21" s="172" t="s">
        <v>189</v>
      </c>
      <c r="C21" s="171" t="s">
        <v>385</v>
      </c>
      <c r="D21" s="151"/>
      <c r="E21" s="151"/>
    </row>
    <row r="22" spans="1:5" ht="48" customHeight="1" x14ac:dyDescent="0.2">
      <c r="A22" s="174" t="s">
        <v>190</v>
      </c>
      <c r="B22" s="175" t="s">
        <v>191</v>
      </c>
      <c r="C22" s="176" t="s">
        <v>192</v>
      </c>
      <c r="D22" s="151"/>
      <c r="E22" s="151"/>
    </row>
    <row r="23" spans="1:5" ht="7.5" customHeight="1" x14ac:dyDescent="0.2">
      <c r="A23" s="151"/>
      <c r="B23" s="152"/>
      <c r="C23" s="151"/>
      <c r="D23" s="151"/>
      <c r="E23" s="151"/>
    </row>
    <row r="24" spans="1:5" ht="7.5" customHeight="1" x14ac:dyDescent="0.2">
      <c r="A24" s="151"/>
      <c r="B24" s="152"/>
      <c r="C24" s="151"/>
      <c r="D24" s="151"/>
      <c r="E24" s="151"/>
    </row>
    <row r="25" spans="1:5" ht="31.5" customHeight="1" thickBot="1" x14ac:dyDescent="0.25">
      <c r="A25" s="269" t="s">
        <v>193</v>
      </c>
      <c r="B25" s="269"/>
      <c r="C25" s="269"/>
      <c r="D25" s="269"/>
      <c r="E25" s="269"/>
    </row>
    <row r="26" spans="1:5" ht="7.5" customHeight="1" x14ac:dyDescent="0.2">
      <c r="A26" s="153"/>
      <c r="B26" s="154"/>
      <c r="C26" s="153"/>
      <c r="D26" s="153"/>
      <c r="E26" s="153"/>
    </row>
    <row r="27" spans="1:5" ht="25.5" customHeight="1" x14ac:dyDescent="0.2">
      <c r="A27" s="273" t="s">
        <v>194</v>
      </c>
      <c r="B27" s="273"/>
      <c r="C27" s="273"/>
      <c r="D27" s="273"/>
      <c r="E27" s="273"/>
    </row>
    <row r="28" spans="1:5" ht="7.5" customHeight="1" x14ac:dyDescent="0.2">
      <c r="A28" s="177"/>
      <c r="B28" s="178"/>
      <c r="C28" s="177"/>
      <c r="D28" s="177"/>
      <c r="E28" s="177"/>
    </row>
    <row r="29" spans="1:5" ht="19.5" customHeight="1" x14ac:dyDescent="0.2">
      <c r="A29" s="272" t="s">
        <v>195</v>
      </c>
      <c r="B29" s="272"/>
      <c r="C29" s="272"/>
      <c r="D29" s="272"/>
      <c r="E29" s="272"/>
    </row>
    <row r="30" spans="1:5" ht="19.5" customHeight="1" x14ac:dyDescent="0.2">
      <c r="A30" s="272" t="s">
        <v>196</v>
      </c>
      <c r="B30" s="272"/>
      <c r="C30" s="272"/>
      <c r="D30" s="272"/>
      <c r="E30" s="272"/>
    </row>
    <row r="31" spans="1:5" ht="19.5" customHeight="1" x14ac:dyDescent="0.2">
      <c r="A31" s="274" t="s">
        <v>197</v>
      </c>
      <c r="B31" s="274"/>
      <c r="C31" s="274"/>
      <c r="D31" s="274"/>
      <c r="E31" s="274"/>
    </row>
    <row r="32" spans="1:5" ht="19.5" customHeight="1" x14ac:dyDescent="0.2">
      <c r="A32" s="275" t="s">
        <v>198</v>
      </c>
      <c r="B32" s="275"/>
      <c r="C32" s="275"/>
      <c r="D32" s="275"/>
      <c r="E32" s="275"/>
    </row>
    <row r="33" spans="1:5" ht="19.5" customHeight="1" x14ac:dyDescent="0.2">
      <c r="A33" s="272" t="s">
        <v>199</v>
      </c>
      <c r="B33" s="272"/>
      <c r="C33" s="272"/>
      <c r="D33" s="272"/>
      <c r="E33" s="272"/>
    </row>
    <row r="34" spans="1:5" ht="19.5" customHeight="1" x14ac:dyDescent="0.2">
      <c r="A34" s="272" t="s">
        <v>200</v>
      </c>
      <c r="B34" s="272"/>
      <c r="C34" s="272"/>
      <c r="D34" s="272"/>
      <c r="E34" s="272"/>
    </row>
    <row r="35" spans="1:5" ht="19.5" customHeight="1" x14ac:dyDescent="0.2">
      <c r="A35" s="272" t="s">
        <v>201</v>
      </c>
      <c r="B35" s="272"/>
      <c r="C35" s="272"/>
      <c r="D35" s="272"/>
      <c r="E35" s="272"/>
    </row>
    <row r="36" spans="1:5" ht="19.5" customHeight="1" x14ac:dyDescent="0.2">
      <c r="A36" s="274" t="s">
        <v>202</v>
      </c>
      <c r="B36" s="274"/>
      <c r="C36" s="274"/>
      <c r="D36" s="274"/>
      <c r="E36" s="274"/>
    </row>
    <row r="37" spans="1:5" ht="19.5" customHeight="1" x14ac:dyDescent="0.2">
      <c r="A37" s="275" t="s">
        <v>203</v>
      </c>
      <c r="B37" s="275"/>
      <c r="C37" s="275"/>
      <c r="D37" s="275"/>
      <c r="E37" s="275"/>
    </row>
    <row r="38" spans="1:5" ht="19.5" customHeight="1" x14ac:dyDescent="0.2">
      <c r="A38" s="276" t="s">
        <v>204</v>
      </c>
      <c r="B38" s="276"/>
      <c r="C38" s="276"/>
      <c r="D38" s="276"/>
      <c r="E38" s="276"/>
    </row>
    <row r="39" spans="1:5" ht="19.5" customHeight="1" x14ac:dyDescent="0.2">
      <c r="A39" s="272" t="s">
        <v>205</v>
      </c>
      <c r="B39" s="272"/>
      <c r="C39" s="272"/>
      <c r="D39" s="272"/>
      <c r="E39" s="272"/>
    </row>
    <row r="40" spans="1:5" ht="19.5" customHeight="1" x14ac:dyDescent="0.2">
      <c r="A40" s="272" t="s">
        <v>206</v>
      </c>
      <c r="B40" s="272"/>
      <c r="C40" s="272"/>
      <c r="D40" s="272"/>
      <c r="E40" s="272"/>
    </row>
    <row r="41" spans="1:5" ht="19.5" customHeight="1" x14ac:dyDescent="0.2">
      <c r="A41" s="275" t="s">
        <v>207</v>
      </c>
      <c r="B41" s="275"/>
      <c r="C41" s="275"/>
      <c r="D41" s="275"/>
      <c r="E41" s="275"/>
    </row>
    <row r="42" spans="1:5" ht="19.5" customHeight="1" x14ac:dyDescent="0.2">
      <c r="A42" s="275" t="s">
        <v>208</v>
      </c>
      <c r="B42" s="275"/>
      <c r="C42" s="275"/>
      <c r="D42" s="275"/>
      <c r="E42" s="275"/>
    </row>
    <row r="43" spans="1:5" x14ac:dyDescent="0.2">
      <c r="A43" s="276" t="s">
        <v>209</v>
      </c>
      <c r="B43" s="276"/>
      <c r="C43" s="276"/>
      <c r="D43" s="276"/>
      <c r="E43" s="276"/>
    </row>
    <row r="44" spans="1:5" ht="17" x14ac:dyDescent="0.2">
      <c r="A44" s="179" t="s">
        <v>386</v>
      </c>
      <c r="B44" s="178"/>
      <c r="C44" s="177"/>
      <c r="D44" s="177"/>
      <c r="E44" s="177"/>
    </row>
    <row r="45" spans="1:5" ht="76" thickBot="1" x14ac:dyDescent="0.25">
      <c r="A45" s="180" t="s">
        <v>387</v>
      </c>
    </row>
    <row r="46" spans="1:5" ht="30" customHeight="1" x14ac:dyDescent="0.2">
      <c r="A46" s="182" t="s">
        <v>529</v>
      </c>
    </row>
    <row r="47" spans="1:5" ht="17" thickBot="1" x14ac:dyDescent="0.25">
      <c r="A47" s="151"/>
      <c r="B47" s="152"/>
      <c r="C47" s="151"/>
      <c r="D47" s="151"/>
      <c r="E47" s="151"/>
    </row>
    <row r="48" spans="1:5" ht="16.5" customHeight="1" thickBot="1" x14ac:dyDescent="0.25">
      <c r="A48" s="183" t="s">
        <v>265</v>
      </c>
      <c r="B48" s="184" t="s">
        <v>388</v>
      </c>
      <c r="C48" s="184" t="s">
        <v>389</v>
      </c>
      <c r="D48" s="185" t="s">
        <v>172</v>
      </c>
      <c r="E48" s="186"/>
    </row>
    <row r="49" spans="1:5" ht="96" x14ac:dyDescent="0.2">
      <c r="A49" s="187">
        <v>4</v>
      </c>
      <c r="B49" s="187" t="s">
        <v>390</v>
      </c>
      <c r="C49" s="188" t="s">
        <v>391</v>
      </c>
      <c r="D49" s="188" t="s">
        <v>430</v>
      </c>
    </row>
    <row r="50" spans="1:5" ht="64" x14ac:dyDescent="0.2">
      <c r="A50" s="189">
        <v>3</v>
      </c>
      <c r="B50" s="189" t="s">
        <v>392</v>
      </c>
      <c r="C50" s="190" t="s">
        <v>393</v>
      </c>
      <c r="D50" s="190" t="s">
        <v>431</v>
      </c>
    </row>
    <row r="51" spans="1:5" ht="60" x14ac:dyDescent="0.2">
      <c r="A51" s="191" t="s">
        <v>394</v>
      </c>
      <c r="B51" s="172"/>
      <c r="C51" s="173"/>
      <c r="D51" s="173"/>
    </row>
    <row r="52" spans="1:5" x14ac:dyDescent="0.2">
      <c r="A52" s="177"/>
      <c r="B52" s="178"/>
      <c r="C52" s="177"/>
      <c r="D52" s="177"/>
      <c r="E52" s="177"/>
    </row>
    <row r="53" spans="1:5" ht="20" thickBot="1" x14ac:dyDescent="0.25">
      <c r="A53" s="278" t="s">
        <v>210</v>
      </c>
      <c r="B53" s="278"/>
      <c r="C53" s="278"/>
      <c r="D53" s="278"/>
      <c r="E53" s="278"/>
    </row>
    <row r="54" spans="1:5" x14ac:dyDescent="0.2">
      <c r="A54" s="279" t="s">
        <v>211</v>
      </c>
      <c r="B54" s="279"/>
      <c r="C54" s="279"/>
      <c r="D54" s="279"/>
      <c r="E54" s="279"/>
    </row>
    <row r="55" spans="1:5" ht="31.5" customHeight="1" thickBot="1" x14ac:dyDescent="0.25">
      <c r="A55" s="151"/>
      <c r="B55" s="152"/>
      <c r="C55" s="151"/>
      <c r="D55" s="151"/>
      <c r="E55" s="151"/>
    </row>
    <row r="56" spans="1:5" ht="17" thickBot="1" x14ac:dyDescent="0.25">
      <c r="A56" s="192" t="s">
        <v>212</v>
      </c>
      <c r="B56" s="193" t="s">
        <v>213</v>
      </c>
      <c r="C56" s="194" t="s">
        <v>214</v>
      </c>
      <c r="D56" s="186" t="s">
        <v>215</v>
      </c>
      <c r="E56" s="186"/>
    </row>
    <row r="57" spans="1:5" ht="32" x14ac:dyDescent="0.2">
      <c r="A57" s="171" t="s">
        <v>395</v>
      </c>
      <c r="B57" s="172" t="s">
        <v>216</v>
      </c>
      <c r="C57" s="173" t="s">
        <v>217</v>
      </c>
      <c r="D57" s="173" t="s">
        <v>218</v>
      </c>
    </row>
    <row r="58" spans="1:5" x14ac:dyDescent="0.2">
      <c r="A58" s="174" t="s">
        <v>396</v>
      </c>
      <c r="B58" s="175" t="s">
        <v>219</v>
      </c>
      <c r="C58" s="176" t="s">
        <v>220</v>
      </c>
      <c r="D58" s="176" t="s">
        <v>221</v>
      </c>
    </row>
    <row r="59" spans="1:5" ht="32" x14ac:dyDescent="0.2">
      <c r="A59" s="171" t="s">
        <v>397</v>
      </c>
      <c r="B59" s="172" t="s">
        <v>222</v>
      </c>
      <c r="C59" s="176" t="s">
        <v>460</v>
      </c>
      <c r="D59" s="176" t="s">
        <v>424</v>
      </c>
    </row>
    <row r="60" spans="1:5" ht="32" x14ac:dyDescent="0.2">
      <c r="A60" s="174" t="s">
        <v>398</v>
      </c>
      <c r="B60" s="175" t="s">
        <v>223</v>
      </c>
      <c r="C60" s="176" t="s">
        <v>224</v>
      </c>
      <c r="D60" s="176" t="s">
        <v>225</v>
      </c>
    </row>
    <row r="61" spans="1:5" ht="30" customHeight="1" x14ac:dyDescent="0.2">
      <c r="A61" s="171" t="s">
        <v>399</v>
      </c>
      <c r="B61" s="172" t="s">
        <v>226</v>
      </c>
      <c r="C61" s="173" t="s">
        <v>227</v>
      </c>
      <c r="D61" s="173" t="s">
        <v>425</v>
      </c>
    </row>
    <row r="62" spans="1:5" x14ac:dyDescent="0.2">
      <c r="A62" s="151"/>
      <c r="B62" s="152"/>
      <c r="C62" s="151"/>
      <c r="D62" s="151"/>
      <c r="E62" s="151"/>
    </row>
    <row r="63" spans="1:5" ht="30" customHeight="1" thickBot="1" x14ac:dyDescent="0.25">
      <c r="A63" s="269" t="s">
        <v>228</v>
      </c>
      <c r="B63" s="269"/>
      <c r="C63" s="269"/>
      <c r="D63" s="269"/>
      <c r="E63" s="269"/>
    </row>
    <row r="64" spans="1:5" ht="7.5" customHeight="1" x14ac:dyDescent="0.2">
      <c r="A64" s="153"/>
      <c r="B64" s="154"/>
      <c r="C64" s="153"/>
      <c r="D64" s="153"/>
      <c r="E64" s="153"/>
    </row>
    <row r="65" spans="1:5" ht="25.5" customHeight="1" x14ac:dyDescent="0.2">
      <c r="A65" s="280" t="s">
        <v>229</v>
      </c>
      <c r="B65" s="280"/>
      <c r="C65" s="280"/>
      <c r="D65" s="280"/>
      <c r="E65" s="280"/>
    </row>
    <row r="66" spans="1:5" ht="7.5" customHeight="1" x14ac:dyDescent="0.2">
      <c r="A66" s="195"/>
      <c r="B66" s="196"/>
      <c r="C66" s="195"/>
      <c r="D66" s="195"/>
      <c r="E66" s="195"/>
    </row>
    <row r="67" spans="1:5" ht="24" customHeight="1" x14ac:dyDescent="0.2">
      <c r="A67" s="273" t="s">
        <v>230</v>
      </c>
      <c r="B67" s="273"/>
      <c r="C67" s="273"/>
      <c r="D67" s="273"/>
      <c r="E67" s="273"/>
    </row>
    <row r="68" spans="1:5" x14ac:dyDescent="0.2">
      <c r="A68" s="177"/>
      <c r="B68" s="178"/>
      <c r="C68" s="177"/>
      <c r="D68" s="177"/>
      <c r="E68" s="177"/>
    </row>
    <row r="69" spans="1:5" ht="24" customHeight="1" x14ac:dyDescent="0.2">
      <c r="A69" s="277" t="s">
        <v>400</v>
      </c>
      <c r="B69" s="277"/>
      <c r="C69" s="277"/>
      <c r="D69" s="277"/>
      <c r="E69" s="277"/>
    </row>
    <row r="70" spans="1:5" x14ac:dyDescent="0.2">
      <c r="A70" s="281" t="s">
        <v>401</v>
      </c>
      <c r="B70" s="281"/>
      <c r="C70" s="281"/>
      <c r="D70" s="281"/>
      <c r="E70" s="281"/>
    </row>
    <row r="71" spans="1:5" x14ac:dyDescent="0.2">
      <c r="A71" s="277" t="s">
        <v>402</v>
      </c>
      <c r="B71" s="277"/>
      <c r="C71" s="277"/>
      <c r="D71" s="277"/>
      <c r="E71" s="277"/>
    </row>
    <row r="72" spans="1:5" ht="7.5" customHeight="1" x14ac:dyDescent="0.2">
      <c r="A72" s="197"/>
      <c r="B72" s="197"/>
      <c r="C72" s="151"/>
      <c r="D72" s="151"/>
      <c r="E72" s="151"/>
    </row>
    <row r="73" spans="1:5" ht="30" customHeight="1" x14ac:dyDescent="0.2">
      <c r="A73" s="283" t="s">
        <v>231</v>
      </c>
      <c r="B73" s="283"/>
      <c r="C73" s="283"/>
      <c r="D73" s="283"/>
      <c r="E73" s="283"/>
    </row>
    <row r="74" spans="1:5" x14ac:dyDescent="0.2">
      <c r="A74" s="197"/>
      <c r="B74" s="197"/>
      <c r="C74" s="151"/>
      <c r="D74" s="151"/>
      <c r="E74" s="151"/>
    </row>
    <row r="75" spans="1:5" x14ac:dyDescent="0.2">
      <c r="A75" s="284" t="s">
        <v>232</v>
      </c>
      <c r="B75" s="284"/>
      <c r="C75" s="284"/>
      <c r="D75" s="284"/>
      <c r="E75" s="284"/>
    </row>
    <row r="76" spans="1:5" x14ac:dyDescent="0.2">
      <c r="A76" s="285" t="s">
        <v>233</v>
      </c>
      <c r="B76" s="285"/>
      <c r="C76" s="285"/>
      <c r="D76" s="285"/>
      <c r="E76" s="285"/>
    </row>
    <row r="77" spans="1:5" ht="21.75" customHeight="1" x14ac:dyDescent="0.2">
      <c r="A77" s="284" t="s">
        <v>234</v>
      </c>
      <c r="B77" s="284"/>
      <c r="C77" s="284"/>
      <c r="D77" s="284"/>
      <c r="E77" s="284"/>
    </row>
    <row r="78" spans="1:5" ht="7.5" customHeight="1" x14ac:dyDescent="0.2">
      <c r="A78" s="197"/>
      <c r="B78" s="198"/>
      <c r="C78" s="151"/>
      <c r="D78" s="151"/>
      <c r="E78" s="151"/>
    </row>
    <row r="79" spans="1:5" ht="21.75" customHeight="1" thickBot="1" x14ac:dyDescent="0.25">
      <c r="A79" s="286" t="s">
        <v>235</v>
      </c>
      <c r="B79" s="286"/>
      <c r="C79" s="286"/>
      <c r="D79" s="286"/>
      <c r="E79" s="286"/>
    </row>
    <row r="80" spans="1:5" x14ac:dyDescent="0.2">
      <c r="A80" s="199"/>
      <c r="B80" s="200"/>
      <c r="C80" s="153"/>
      <c r="D80" s="153"/>
      <c r="E80" s="153"/>
    </row>
    <row r="81" spans="1:5" ht="21.75" customHeight="1" thickBot="1" x14ac:dyDescent="0.25">
      <c r="A81" s="287" t="s">
        <v>236</v>
      </c>
      <c r="B81" s="287"/>
      <c r="C81" s="287"/>
      <c r="D81" s="287"/>
      <c r="E81" s="287"/>
    </row>
    <row r="82" spans="1:5" ht="7.5" customHeight="1" x14ac:dyDescent="0.2">
      <c r="A82" s="201"/>
      <c r="B82" s="202"/>
      <c r="C82" s="203"/>
      <c r="D82" s="203"/>
      <c r="E82" s="203"/>
    </row>
    <row r="83" spans="1:5" x14ac:dyDescent="0.2">
      <c r="A83" s="288" t="s">
        <v>237</v>
      </c>
      <c r="B83" s="288"/>
      <c r="C83" s="288"/>
      <c r="D83" s="288"/>
      <c r="E83" s="288"/>
    </row>
    <row r="84" spans="1:5" ht="7.5" customHeight="1" x14ac:dyDescent="0.2">
      <c r="A84" s="197"/>
      <c r="B84" s="198"/>
      <c r="C84" s="151"/>
      <c r="D84" s="151"/>
      <c r="E84" s="151"/>
    </row>
    <row r="85" spans="1:5" x14ac:dyDescent="0.2">
      <c r="A85" s="289" t="s">
        <v>238</v>
      </c>
      <c r="B85" s="289"/>
      <c r="C85" s="289"/>
      <c r="D85" s="289"/>
      <c r="E85" s="289"/>
    </row>
    <row r="86" spans="1:5" x14ac:dyDescent="0.2">
      <c r="A86" s="197"/>
      <c r="B86" s="198"/>
      <c r="C86" s="151"/>
      <c r="D86" s="151"/>
      <c r="E86" s="151"/>
    </row>
    <row r="87" spans="1:5" x14ac:dyDescent="0.2">
      <c r="A87" s="284" t="s">
        <v>239</v>
      </c>
      <c r="B87" s="284"/>
      <c r="C87" s="284"/>
      <c r="D87" s="284"/>
      <c r="E87" s="284"/>
    </row>
    <row r="88" spans="1:5" x14ac:dyDescent="0.2">
      <c r="A88" s="284" t="s">
        <v>240</v>
      </c>
      <c r="B88" s="284"/>
      <c r="C88" s="284"/>
      <c r="D88" s="284"/>
      <c r="E88" s="284"/>
    </row>
    <row r="89" spans="1:5" ht="30" customHeight="1" x14ac:dyDescent="0.2">
      <c r="A89" s="284" t="s">
        <v>241</v>
      </c>
      <c r="B89" s="284"/>
      <c r="C89" s="284"/>
      <c r="D89" s="284"/>
      <c r="E89" s="284"/>
    </row>
    <row r="90" spans="1:5" ht="7.5" customHeight="1" x14ac:dyDescent="0.2">
      <c r="A90" s="197"/>
      <c r="B90" s="198"/>
      <c r="C90" s="151"/>
      <c r="D90" s="151"/>
      <c r="E90" s="151"/>
    </row>
    <row r="91" spans="1:5" ht="21.75" customHeight="1" x14ac:dyDescent="0.2">
      <c r="A91" s="282" t="s">
        <v>403</v>
      </c>
      <c r="B91" s="282"/>
      <c r="C91" s="282"/>
      <c r="D91" s="282"/>
      <c r="E91" s="282"/>
    </row>
    <row r="92" spans="1:5" ht="7.5" customHeight="1" x14ac:dyDescent="0.2">
      <c r="A92" s="197"/>
      <c r="B92" s="198"/>
      <c r="C92" s="151"/>
      <c r="D92" s="151"/>
      <c r="E92" s="151"/>
    </row>
    <row r="93" spans="1:5" ht="21.75" customHeight="1" x14ac:dyDescent="0.2">
      <c r="A93" s="291" t="s">
        <v>404</v>
      </c>
      <c r="B93" s="291"/>
      <c r="C93" s="291"/>
      <c r="D93" s="291"/>
      <c r="E93" s="291"/>
    </row>
    <row r="94" spans="1:5" x14ac:dyDescent="0.2">
      <c r="A94" s="197"/>
      <c r="B94" s="198"/>
      <c r="C94" s="151"/>
      <c r="D94" s="151"/>
      <c r="E94" s="151"/>
    </row>
    <row r="95" spans="1:5" ht="21.75" customHeight="1" thickBot="1" x14ac:dyDescent="0.25">
      <c r="A95" s="292" t="s">
        <v>242</v>
      </c>
      <c r="B95" s="292"/>
      <c r="C95" s="292"/>
      <c r="D95" s="292"/>
      <c r="E95" s="292"/>
    </row>
    <row r="96" spans="1:5" ht="7.5" customHeight="1" x14ac:dyDescent="0.2">
      <c r="A96" s="204"/>
      <c r="B96" s="204"/>
      <c r="C96" s="205"/>
      <c r="D96" s="205"/>
      <c r="E96" s="205"/>
    </row>
    <row r="97" spans="1:5" ht="21.75" customHeight="1" x14ac:dyDescent="0.2">
      <c r="A97" s="288" t="s">
        <v>243</v>
      </c>
      <c r="B97" s="288"/>
      <c r="C97" s="288"/>
      <c r="D97" s="288"/>
      <c r="E97" s="288"/>
    </row>
    <row r="98" spans="1:5" ht="7.5" customHeight="1" x14ac:dyDescent="0.2">
      <c r="A98" s="197"/>
      <c r="B98" s="197"/>
      <c r="C98" s="151"/>
      <c r="D98" s="151"/>
      <c r="E98" s="151"/>
    </row>
    <row r="99" spans="1:5" ht="21.75" customHeight="1" x14ac:dyDescent="0.2">
      <c r="A99" s="289" t="s">
        <v>238</v>
      </c>
      <c r="B99" s="289"/>
      <c r="C99" s="289"/>
      <c r="D99" s="289"/>
      <c r="E99" s="289"/>
    </row>
    <row r="100" spans="1:5" x14ac:dyDescent="0.2">
      <c r="A100" s="284" t="s">
        <v>244</v>
      </c>
      <c r="B100" s="284"/>
      <c r="C100" s="284"/>
      <c r="D100" s="284"/>
      <c r="E100" s="284"/>
    </row>
    <row r="101" spans="1:5" x14ac:dyDescent="0.2">
      <c r="A101" s="284" t="s">
        <v>245</v>
      </c>
      <c r="B101" s="284"/>
      <c r="C101" s="284"/>
      <c r="D101" s="284"/>
      <c r="E101" s="284"/>
    </row>
    <row r="102" spans="1:5" x14ac:dyDescent="0.2">
      <c r="A102" s="284" t="s">
        <v>246</v>
      </c>
      <c r="B102" s="284"/>
      <c r="C102" s="284"/>
      <c r="D102" s="284"/>
      <c r="E102" s="284"/>
    </row>
    <row r="103" spans="1:5" ht="21" customHeight="1" x14ac:dyDescent="0.2">
      <c r="A103" s="289" t="s">
        <v>247</v>
      </c>
      <c r="B103" s="289"/>
      <c r="C103" s="289"/>
      <c r="D103" s="289"/>
      <c r="E103" s="289"/>
    </row>
    <row r="104" spans="1:5" x14ac:dyDescent="0.2">
      <c r="A104" s="290" t="s">
        <v>248</v>
      </c>
      <c r="B104" s="290"/>
      <c r="C104" s="290"/>
      <c r="D104" s="290"/>
      <c r="E104" s="290"/>
    </row>
    <row r="105" spans="1:5" x14ac:dyDescent="0.2">
      <c r="A105" s="290" t="s">
        <v>249</v>
      </c>
      <c r="B105" s="290"/>
      <c r="C105" s="290"/>
      <c r="D105" s="290"/>
      <c r="E105" s="290"/>
    </row>
    <row r="106" spans="1:5" x14ac:dyDescent="0.2">
      <c r="A106" s="290" t="s">
        <v>250</v>
      </c>
      <c r="B106" s="290"/>
      <c r="C106" s="290"/>
      <c r="D106" s="290"/>
      <c r="E106" s="290"/>
    </row>
    <row r="107" spans="1:5" x14ac:dyDescent="0.2">
      <c r="A107" s="290" t="s">
        <v>448</v>
      </c>
      <c r="B107" s="290"/>
      <c r="C107" s="290"/>
      <c r="D107" s="290"/>
      <c r="E107" s="290"/>
    </row>
    <row r="108" spans="1:5" ht="7.5" customHeight="1" x14ac:dyDescent="0.2">
      <c r="A108" s="197"/>
      <c r="B108" s="151"/>
      <c r="C108" s="151"/>
      <c r="D108" s="151"/>
      <c r="E108" s="151"/>
    </row>
    <row r="109" spans="1:5" ht="21.75" customHeight="1" x14ac:dyDescent="0.2">
      <c r="A109" s="282" t="s">
        <v>276</v>
      </c>
      <c r="B109" s="282"/>
      <c r="C109" s="282"/>
      <c r="D109" s="282"/>
      <c r="E109" s="282"/>
    </row>
    <row r="110" spans="1:5" ht="7.5" customHeight="1" x14ac:dyDescent="0.2">
      <c r="A110" s="197"/>
      <c r="B110" s="152"/>
      <c r="C110" s="151"/>
      <c r="D110" s="151"/>
      <c r="E110" s="151"/>
    </row>
    <row r="111" spans="1:5" x14ac:dyDescent="0.2">
      <c r="A111" s="294" t="s">
        <v>405</v>
      </c>
      <c r="B111" s="294"/>
      <c r="C111" s="294"/>
      <c r="D111" s="294"/>
      <c r="E111" s="294"/>
    </row>
    <row r="112" spans="1:5" ht="21.75" customHeight="1" x14ac:dyDescent="0.2">
      <c r="A112" s="197"/>
      <c r="B112" s="152"/>
      <c r="C112" s="151"/>
      <c r="D112" s="151"/>
      <c r="E112" s="151"/>
    </row>
    <row r="113" spans="1:5" ht="21.75" customHeight="1" thickBot="1" x14ac:dyDescent="0.25">
      <c r="A113" s="295" t="s">
        <v>251</v>
      </c>
      <c r="B113" s="295"/>
      <c r="C113" s="295"/>
      <c r="D113" s="295"/>
      <c r="E113" s="295"/>
    </row>
    <row r="114" spans="1:5" ht="7.5" customHeight="1" x14ac:dyDescent="0.2">
      <c r="A114" s="206"/>
      <c r="B114" s="207"/>
      <c r="C114" s="207"/>
      <c r="D114" s="207"/>
      <c r="E114" s="207"/>
    </row>
    <row r="115" spans="1:5" ht="21.75" customHeight="1" x14ac:dyDescent="0.2">
      <c r="A115" s="288" t="s">
        <v>252</v>
      </c>
      <c r="B115" s="288"/>
      <c r="C115" s="288"/>
      <c r="D115" s="288"/>
      <c r="E115" s="288"/>
    </row>
    <row r="116" spans="1:5" ht="7.5" customHeight="1" x14ac:dyDescent="0.2">
      <c r="A116" s="197"/>
      <c r="B116" s="151"/>
      <c r="C116" s="151"/>
      <c r="D116" s="151"/>
      <c r="E116" s="151"/>
    </row>
    <row r="117" spans="1:5" ht="24" customHeight="1" x14ac:dyDescent="0.2">
      <c r="A117" s="289" t="s">
        <v>253</v>
      </c>
      <c r="B117" s="289"/>
      <c r="C117" s="289"/>
      <c r="D117" s="289"/>
      <c r="E117" s="289"/>
    </row>
    <row r="118" spans="1:5" ht="24" customHeight="1" x14ac:dyDescent="0.2">
      <c r="A118" s="284" t="s">
        <v>254</v>
      </c>
      <c r="B118" s="284"/>
      <c r="C118" s="284"/>
      <c r="D118" s="284"/>
      <c r="E118" s="284"/>
    </row>
    <row r="119" spans="1:5" ht="24" customHeight="1" x14ac:dyDescent="0.2">
      <c r="A119" s="284" t="s">
        <v>426</v>
      </c>
      <c r="B119" s="284"/>
      <c r="C119" s="284"/>
      <c r="D119" s="284"/>
      <c r="E119" s="284"/>
    </row>
    <row r="120" spans="1:5" ht="24" customHeight="1" x14ac:dyDescent="0.2">
      <c r="A120" s="284" t="s">
        <v>411</v>
      </c>
      <c r="B120" s="284"/>
      <c r="C120" s="284"/>
      <c r="D120" s="284"/>
      <c r="E120" s="284"/>
    </row>
    <row r="121" spans="1:5" x14ac:dyDescent="0.2">
      <c r="A121" s="197"/>
      <c r="B121" s="151"/>
      <c r="C121" s="151"/>
      <c r="D121" s="151"/>
      <c r="E121" s="151"/>
    </row>
    <row r="122" spans="1:5" x14ac:dyDescent="0.2">
      <c r="A122" s="289" t="s">
        <v>255</v>
      </c>
      <c r="B122" s="289"/>
      <c r="C122" s="289"/>
      <c r="D122" s="289"/>
      <c r="E122" s="289"/>
    </row>
    <row r="123" spans="1:5" x14ac:dyDescent="0.2">
      <c r="A123" s="293" t="s">
        <v>508</v>
      </c>
      <c r="B123" s="293"/>
      <c r="C123" s="293"/>
      <c r="D123" s="293"/>
      <c r="E123" s="293"/>
    </row>
    <row r="124" spans="1:5" x14ac:dyDescent="0.2">
      <c r="A124" s="293" t="s">
        <v>427</v>
      </c>
      <c r="B124" s="293"/>
      <c r="C124" s="293"/>
      <c r="D124" s="293"/>
      <c r="E124" s="293"/>
    </row>
    <row r="125" spans="1:5" x14ac:dyDescent="0.2">
      <c r="A125" s="293" t="s">
        <v>256</v>
      </c>
      <c r="B125" s="293"/>
      <c r="C125" s="293"/>
      <c r="D125" s="293"/>
      <c r="E125" s="293"/>
    </row>
    <row r="126" spans="1:5" x14ac:dyDescent="0.2">
      <c r="A126" s="293" t="s">
        <v>257</v>
      </c>
      <c r="B126" s="293"/>
      <c r="C126" s="293"/>
      <c r="D126" s="293"/>
      <c r="E126" s="293"/>
    </row>
    <row r="127" spans="1:5" x14ac:dyDescent="0.2">
      <c r="A127" s="293" t="s">
        <v>258</v>
      </c>
      <c r="B127" s="293"/>
      <c r="C127" s="293"/>
      <c r="D127" s="293"/>
      <c r="E127" s="293"/>
    </row>
    <row r="128" spans="1:5" ht="7.5" customHeight="1" x14ac:dyDescent="0.2">
      <c r="A128" s="197"/>
      <c r="B128" s="151"/>
      <c r="C128" s="151"/>
      <c r="D128" s="151"/>
      <c r="E128" s="151"/>
    </row>
    <row r="129" spans="1:5" x14ac:dyDescent="0.2">
      <c r="A129" s="282" t="s">
        <v>509</v>
      </c>
      <c r="B129" s="282"/>
      <c r="C129" s="282"/>
      <c r="D129" s="282"/>
      <c r="E129" s="282"/>
    </row>
    <row r="130" spans="1:5" ht="19.5" customHeight="1" x14ac:dyDescent="0.2">
      <c r="A130" s="197"/>
      <c r="B130" s="152"/>
      <c r="C130" s="151"/>
      <c r="D130" s="151"/>
      <c r="E130" s="151"/>
    </row>
    <row r="131" spans="1:5" x14ac:dyDescent="0.2">
      <c r="A131" s="297" t="s">
        <v>406</v>
      </c>
      <c r="B131" s="297"/>
      <c r="C131" s="297"/>
      <c r="D131" s="297"/>
      <c r="E131" s="297"/>
    </row>
    <row r="132" spans="1:5" x14ac:dyDescent="0.2">
      <c r="A132" s="197"/>
      <c r="B132" s="152"/>
      <c r="C132" s="151"/>
      <c r="D132" s="151"/>
      <c r="E132" s="151"/>
    </row>
    <row r="133" spans="1:5" ht="15.75" customHeight="1" x14ac:dyDescent="0.2">
      <c r="A133" s="298" t="s">
        <v>407</v>
      </c>
      <c r="B133" s="298"/>
      <c r="C133" s="298"/>
      <c r="D133" s="298"/>
      <c r="E133" s="298"/>
    </row>
    <row r="134" spans="1:5" x14ac:dyDescent="0.2">
      <c r="A134" s="208"/>
      <c r="B134" s="152"/>
      <c r="C134" s="151"/>
      <c r="D134" s="151"/>
      <c r="E134" s="151"/>
    </row>
    <row r="135" spans="1:5" ht="15.75" customHeight="1" x14ac:dyDescent="0.2">
      <c r="A135" s="299" t="s">
        <v>429</v>
      </c>
      <c r="B135" s="299"/>
      <c r="C135" s="299"/>
      <c r="D135" s="299"/>
      <c r="E135" s="299"/>
    </row>
    <row r="136" spans="1:5" ht="15.75" customHeight="1" x14ac:dyDescent="0.2">
      <c r="A136" s="296" t="s">
        <v>408</v>
      </c>
      <c r="B136" s="296"/>
      <c r="C136" s="296"/>
      <c r="D136" s="296"/>
      <c r="E136" s="296"/>
    </row>
  </sheetData>
  <mergeCells count="73">
    <mergeCell ref="A136:E136"/>
    <mergeCell ref="A126:E126"/>
    <mergeCell ref="A127:E127"/>
    <mergeCell ref="A129:E129"/>
    <mergeCell ref="A131:E131"/>
    <mergeCell ref="A133:E133"/>
    <mergeCell ref="A135:E135"/>
    <mergeCell ref="A125:E125"/>
    <mergeCell ref="A109:E109"/>
    <mergeCell ref="A111:E111"/>
    <mergeCell ref="A113:E113"/>
    <mergeCell ref="A115:E115"/>
    <mergeCell ref="A117:E117"/>
    <mergeCell ref="A118:E118"/>
    <mergeCell ref="A119:E119"/>
    <mergeCell ref="A120:E120"/>
    <mergeCell ref="A122:E122"/>
    <mergeCell ref="A123:E123"/>
    <mergeCell ref="A124:E124"/>
    <mergeCell ref="A107:E107"/>
    <mergeCell ref="A93:E93"/>
    <mergeCell ref="A95:E95"/>
    <mergeCell ref="A97:E97"/>
    <mergeCell ref="A99:E99"/>
    <mergeCell ref="A100:E100"/>
    <mergeCell ref="A101:E101"/>
    <mergeCell ref="A102:E102"/>
    <mergeCell ref="A103:E103"/>
    <mergeCell ref="A104:E104"/>
    <mergeCell ref="A105:E105"/>
    <mergeCell ref="A106:E106"/>
    <mergeCell ref="A91:E91"/>
    <mergeCell ref="A73:E73"/>
    <mergeCell ref="A75:E75"/>
    <mergeCell ref="A76:E76"/>
    <mergeCell ref="A77:E77"/>
    <mergeCell ref="A79:E79"/>
    <mergeCell ref="A81:E81"/>
    <mergeCell ref="A83:E83"/>
    <mergeCell ref="A85:E85"/>
    <mergeCell ref="A87:E87"/>
    <mergeCell ref="A88:E88"/>
    <mergeCell ref="A89:E89"/>
    <mergeCell ref="A71:E71"/>
    <mergeCell ref="A40:E40"/>
    <mergeCell ref="A41:E41"/>
    <mergeCell ref="A42:E42"/>
    <mergeCell ref="A43:E43"/>
    <mergeCell ref="A53:E53"/>
    <mergeCell ref="A54:E54"/>
    <mergeCell ref="A63:E63"/>
    <mergeCell ref="A65:E65"/>
    <mergeCell ref="A67:E67"/>
    <mergeCell ref="A69:E69"/>
    <mergeCell ref="A70:E70"/>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3"/>
  <sheetViews>
    <sheetView zoomScale="88" zoomScaleNormal="88" workbookViewId="0">
      <pane xSplit="1" ySplit="2" topLeftCell="B10" activePane="bottomRight" state="frozen"/>
      <selection pane="topRight" activeCell="B1" sqref="B1"/>
      <selection pane="bottomLeft" activeCell="A3" sqref="A3"/>
      <selection pane="bottomRight" activeCell="D11" sqref="D11"/>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27" customFormat="1" ht="27" thickBot="1" x14ac:dyDescent="0.25">
      <c r="A1" s="131" t="s">
        <v>279</v>
      </c>
      <c r="B1" s="132"/>
      <c r="C1" s="132"/>
      <c r="D1" s="132"/>
      <c r="E1" s="132"/>
      <c r="F1" s="132"/>
      <c r="G1" s="132"/>
      <c r="H1" s="132"/>
      <c r="I1" s="133"/>
    </row>
    <row r="2" spans="1:20" s="3" customFormat="1" ht="19" x14ac:dyDescent="0.2">
      <c r="A2" s="11" t="s">
        <v>0</v>
      </c>
      <c r="B2" s="9" t="s">
        <v>290</v>
      </c>
      <c r="C2" s="9" t="s">
        <v>291</v>
      </c>
      <c r="D2" s="9" t="s">
        <v>1</v>
      </c>
      <c r="E2" s="9" t="s">
        <v>2</v>
      </c>
      <c r="F2" s="9" t="s">
        <v>3</v>
      </c>
      <c r="G2" s="9" t="s">
        <v>4</v>
      </c>
      <c r="H2" s="9" t="s">
        <v>5</v>
      </c>
      <c r="I2" s="10" t="s">
        <v>6</v>
      </c>
    </row>
    <row r="3" spans="1:20" ht="85" x14ac:dyDescent="0.2">
      <c r="A3" s="146">
        <v>1.1000000000000001</v>
      </c>
      <c r="B3" s="12" t="s">
        <v>7</v>
      </c>
      <c r="C3" s="13" t="s">
        <v>294</v>
      </c>
      <c r="D3" s="22" t="s">
        <v>267</v>
      </c>
      <c r="E3" s="19">
        <v>1</v>
      </c>
      <c r="F3" s="13" t="s">
        <v>9</v>
      </c>
      <c r="G3" s="13" t="s">
        <v>10</v>
      </c>
      <c r="H3" s="13" t="s">
        <v>11</v>
      </c>
      <c r="I3" s="14" t="s">
        <v>12</v>
      </c>
      <c r="J3" s="2"/>
      <c r="K3" s="2"/>
      <c r="L3" s="2"/>
      <c r="M3" s="2"/>
      <c r="N3" s="2"/>
      <c r="O3" s="2"/>
      <c r="P3" s="2"/>
      <c r="Q3" s="2"/>
      <c r="R3" s="2"/>
      <c r="S3" s="2"/>
      <c r="T3" s="2"/>
    </row>
    <row r="4" spans="1:20" ht="51" x14ac:dyDescent="0.2">
      <c r="A4" s="147">
        <v>1.2</v>
      </c>
      <c r="B4" s="15" t="s">
        <v>13</v>
      </c>
      <c r="C4" s="16" t="s">
        <v>295</v>
      </c>
      <c r="D4" s="22" t="s">
        <v>267</v>
      </c>
      <c r="E4" s="20">
        <v>1</v>
      </c>
      <c r="F4" s="16" t="s">
        <v>14</v>
      </c>
      <c r="G4" s="16" t="s">
        <v>15</v>
      </c>
      <c r="H4" s="16" t="s">
        <v>16</v>
      </c>
      <c r="I4" s="17" t="s">
        <v>17</v>
      </c>
      <c r="J4" s="2"/>
      <c r="K4" s="2"/>
      <c r="L4" s="2"/>
      <c r="M4" s="2"/>
      <c r="N4" s="2"/>
      <c r="O4" s="2"/>
      <c r="P4" s="2"/>
      <c r="Q4" s="2"/>
      <c r="R4" s="2"/>
      <c r="S4" s="2"/>
      <c r="T4" s="2"/>
    </row>
    <row r="5" spans="1:20" ht="85" x14ac:dyDescent="0.2">
      <c r="A5" s="146">
        <v>1.3</v>
      </c>
      <c r="B5" s="12" t="s">
        <v>18</v>
      </c>
      <c r="C5" s="13" t="s">
        <v>315</v>
      </c>
      <c r="D5" s="23" t="s">
        <v>278</v>
      </c>
      <c r="E5" s="19">
        <v>3</v>
      </c>
      <c r="F5" s="13" t="s">
        <v>19</v>
      </c>
      <c r="G5" s="13" t="s">
        <v>20</v>
      </c>
      <c r="H5" s="13" t="s">
        <v>21</v>
      </c>
      <c r="I5" s="14" t="s">
        <v>22</v>
      </c>
      <c r="J5" s="2"/>
      <c r="K5" s="2"/>
      <c r="L5" s="2"/>
      <c r="M5" s="2"/>
      <c r="N5" s="2"/>
      <c r="O5" s="2"/>
      <c r="P5" s="2"/>
      <c r="Q5" s="2"/>
      <c r="R5" s="2"/>
      <c r="S5" s="2"/>
      <c r="T5" s="2"/>
    </row>
    <row r="6" spans="1:20" ht="68" x14ac:dyDescent="0.2">
      <c r="A6" s="147">
        <v>1.4</v>
      </c>
      <c r="B6" s="16" t="s">
        <v>282</v>
      </c>
      <c r="C6" s="16" t="s">
        <v>296</v>
      </c>
      <c r="D6" s="23" t="s">
        <v>278</v>
      </c>
      <c r="E6" s="20">
        <v>3</v>
      </c>
      <c r="F6" s="16" t="s">
        <v>23</v>
      </c>
      <c r="G6" s="16" t="s">
        <v>24</v>
      </c>
      <c r="H6" s="16" t="s">
        <v>25</v>
      </c>
      <c r="I6" s="17" t="s">
        <v>26</v>
      </c>
      <c r="J6" s="2"/>
      <c r="K6" s="2"/>
      <c r="L6" s="2"/>
      <c r="M6" s="2"/>
      <c r="N6" s="2"/>
      <c r="O6" s="2"/>
      <c r="P6" s="2"/>
      <c r="Q6" s="2"/>
      <c r="R6" s="2"/>
      <c r="S6" s="2"/>
      <c r="T6" s="2"/>
    </row>
    <row r="7" spans="1:20" ht="68" x14ac:dyDescent="0.2">
      <c r="A7" s="146">
        <v>1.5</v>
      </c>
      <c r="B7" s="13" t="s">
        <v>283</v>
      </c>
      <c r="C7" s="13" t="s">
        <v>314</v>
      </c>
      <c r="D7" s="23" t="s">
        <v>278</v>
      </c>
      <c r="E7" s="19">
        <v>3</v>
      </c>
      <c r="F7" s="13" t="s">
        <v>23</v>
      </c>
      <c r="G7" s="13" t="s">
        <v>27</v>
      </c>
      <c r="H7" s="13" t="s">
        <v>28</v>
      </c>
      <c r="I7" s="123" t="s">
        <v>29</v>
      </c>
      <c r="J7" s="126"/>
      <c r="K7" s="2"/>
      <c r="L7" s="2"/>
      <c r="M7" s="2"/>
      <c r="N7" s="2"/>
      <c r="O7" s="2"/>
      <c r="P7" s="2"/>
      <c r="Q7" s="2"/>
      <c r="R7" s="2"/>
      <c r="S7" s="2"/>
      <c r="T7" s="2"/>
    </row>
    <row r="8" spans="1:20" ht="119" x14ac:dyDescent="0.2">
      <c r="A8" s="147">
        <v>2.1</v>
      </c>
      <c r="B8" s="16" t="s">
        <v>284</v>
      </c>
      <c r="C8" s="16" t="s">
        <v>297</v>
      </c>
      <c r="D8" s="23" t="s">
        <v>278</v>
      </c>
      <c r="E8" s="20">
        <v>4</v>
      </c>
      <c r="F8" s="16" t="s">
        <v>445</v>
      </c>
      <c r="G8" s="16" t="s">
        <v>462</v>
      </c>
      <c r="H8" s="16" t="s">
        <v>463</v>
      </c>
      <c r="I8" s="16" t="s">
        <v>446</v>
      </c>
      <c r="J8" s="126"/>
      <c r="K8" s="2"/>
      <c r="L8" s="2"/>
      <c r="M8" s="2"/>
      <c r="N8" s="2"/>
      <c r="O8" s="2"/>
      <c r="P8" s="2"/>
      <c r="Q8" s="2"/>
      <c r="R8" s="2"/>
      <c r="S8" s="2"/>
      <c r="T8" s="2"/>
    </row>
    <row r="9" spans="1:20" ht="187" x14ac:dyDescent="0.2">
      <c r="A9" s="146">
        <v>2.2000000000000002</v>
      </c>
      <c r="B9" s="13" t="s">
        <v>285</v>
      </c>
      <c r="C9" s="13" t="s">
        <v>298</v>
      </c>
      <c r="D9" s="23" t="s">
        <v>278</v>
      </c>
      <c r="E9" s="19">
        <v>4</v>
      </c>
      <c r="F9" s="13" t="s">
        <v>437</v>
      </c>
      <c r="G9" s="13" t="s">
        <v>464</v>
      </c>
      <c r="H9" s="13" t="s">
        <v>465</v>
      </c>
      <c r="I9" s="13" t="s">
        <v>438</v>
      </c>
      <c r="J9" s="126"/>
      <c r="K9" s="2"/>
      <c r="L9" s="2"/>
      <c r="M9" s="2"/>
      <c r="N9" s="2"/>
      <c r="O9" s="2"/>
      <c r="P9" s="2"/>
      <c r="Q9" s="2"/>
      <c r="R9" s="2"/>
      <c r="S9" s="2"/>
      <c r="T9" s="2"/>
    </row>
    <row r="10" spans="1:20" ht="272" x14ac:dyDescent="0.2">
      <c r="A10" s="147">
        <v>2.2999999999999998</v>
      </c>
      <c r="B10" s="16" t="s">
        <v>286</v>
      </c>
      <c r="C10" s="16" t="s">
        <v>299</v>
      </c>
      <c r="D10" s="23" t="s">
        <v>278</v>
      </c>
      <c r="E10" s="20">
        <v>4</v>
      </c>
      <c r="F10" s="16" t="s">
        <v>439</v>
      </c>
      <c r="G10" s="98" t="s">
        <v>466</v>
      </c>
      <c r="H10" s="16" t="s">
        <v>467</v>
      </c>
      <c r="I10" s="16" t="s">
        <v>440</v>
      </c>
      <c r="J10" s="126"/>
      <c r="K10" s="2"/>
      <c r="L10" s="2"/>
      <c r="M10" s="2"/>
      <c r="N10" s="2"/>
      <c r="O10" s="2"/>
      <c r="P10" s="2"/>
      <c r="Q10" s="2"/>
      <c r="R10" s="2"/>
      <c r="S10" s="2"/>
      <c r="T10" s="2"/>
    </row>
    <row r="11" spans="1:20" ht="119" x14ac:dyDescent="0.2">
      <c r="A11" s="146">
        <v>2.4</v>
      </c>
      <c r="B11" s="12" t="s">
        <v>31</v>
      </c>
      <c r="C11" s="13" t="s">
        <v>300</v>
      </c>
      <c r="D11" s="23" t="s">
        <v>278</v>
      </c>
      <c r="E11" s="19">
        <v>4</v>
      </c>
      <c r="F11" s="13" t="s">
        <v>413</v>
      </c>
      <c r="G11" s="13" t="s">
        <v>468</v>
      </c>
      <c r="H11" s="13" t="s">
        <v>469</v>
      </c>
      <c r="I11" s="123" t="s">
        <v>528</v>
      </c>
      <c r="J11" s="126"/>
      <c r="K11" s="2"/>
      <c r="L11" s="2"/>
      <c r="M11" s="2"/>
      <c r="N11" s="2"/>
      <c r="O11" s="2"/>
      <c r="P11" s="2"/>
      <c r="Q11" s="2"/>
      <c r="R11" s="2"/>
      <c r="S11" s="2"/>
      <c r="T11" s="2"/>
    </row>
    <row r="12" spans="1:20" ht="85" x14ac:dyDescent="0.2">
      <c r="A12" s="147">
        <v>2.5</v>
      </c>
      <c r="B12" s="15" t="s">
        <v>32</v>
      </c>
      <c r="C12" s="16" t="s">
        <v>301</v>
      </c>
      <c r="D12" s="24" t="s">
        <v>272</v>
      </c>
      <c r="E12" s="20">
        <v>5</v>
      </c>
      <c r="F12" s="16" t="s">
        <v>417</v>
      </c>
      <c r="G12" s="16" t="s">
        <v>471</v>
      </c>
      <c r="H12" s="16" t="s">
        <v>470</v>
      </c>
      <c r="I12" s="122" t="s">
        <v>418</v>
      </c>
      <c r="J12" s="126"/>
      <c r="K12" s="2"/>
      <c r="L12" s="2"/>
      <c r="M12" s="2"/>
      <c r="N12" s="2"/>
      <c r="O12" s="2"/>
      <c r="P12" s="2"/>
      <c r="Q12" s="2"/>
      <c r="R12" s="2"/>
      <c r="S12" s="2"/>
      <c r="T12" s="2"/>
    </row>
    <row r="13" spans="1:20" ht="153" x14ac:dyDescent="0.2">
      <c r="A13" s="146">
        <v>2.6</v>
      </c>
      <c r="B13" s="12" t="s">
        <v>33</v>
      </c>
      <c r="C13" s="13" t="s">
        <v>302</v>
      </c>
      <c r="D13" s="23" t="s">
        <v>278</v>
      </c>
      <c r="E13" s="19">
        <v>3</v>
      </c>
      <c r="F13" s="13" t="s">
        <v>414</v>
      </c>
      <c r="G13" s="13" t="s">
        <v>472</v>
      </c>
      <c r="H13" s="13" t="s">
        <v>473</v>
      </c>
      <c r="I13" s="123" t="s">
        <v>416</v>
      </c>
      <c r="J13" s="126"/>
      <c r="K13" s="2"/>
      <c r="L13" s="2"/>
      <c r="M13" s="2"/>
      <c r="N13" s="2"/>
      <c r="O13" s="2"/>
      <c r="P13" s="2"/>
      <c r="Q13" s="2"/>
      <c r="R13" s="2"/>
      <c r="S13" s="2"/>
      <c r="T13" s="2"/>
    </row>
    <row r="14" spans="1:20" ht="68" x14ac:dyDescent="0.2">
      <c r="A14" s="147">
        <v>2.7</v>
      </c>
      <c r="B14" s="15" t="s">
        <v>34</v>
      </c>
      <c r="C14" s="16" t="s">
        <v>303</v>
      </c>
      <c r="D14" s="23" t="s">
        <v>278</v>
      </c>
      <c r="E14" s="20">
        <v>3</v>
      </c>
      <c r="F14" s="16" t="s">
        <v>35</v>
      </c>
      <c r="G14" s="16" t="s">
        <v>36</v>
      </c>
      <c r="H14" s="16" t="s">
        <v>37</v>
      </c>
      <c r="I14" s="122" t="s">
        <v>38</v>
      </c>
      <c r="J14" s="126"/>
      <c r="K14" s="2"/>
      <c r="L14" s="2"/>
      <c r="M14" s="2"/>
      <c r="N14" s="2"/>
      <c r="O14" s="2"/>
      <c r="P14" s="2"/>
      <c r="Q14" s="2"/>
      <c r="R14" s="2"/>
      <c r="S14" s="2"/>
      <c r="T14" s="2"/>
    </row>
    <row r="15" spans="1:20" ht="136" x14ac:dyDescent="0.2">
      <c r="A15" s="146">
        <v>2.8</v>
      </c>
      <c r="B15" s="12" t="s">
        <v>39</v>
      </c>
      <c r="C15" s="13" t="s">
        <v>304</v>
      </c>
      <c r="D15" s="23" t="s">
        <v>278</v>
      </c>
      <c r="E15" s="19">
        <v>3</v>
      </c>
      <c r="F15" s="13" t="s">
        <v>259</v>
      </c>
      <c r="G15" s="13" t="s">
        <v>260</v>
      </c>
      <c r="H15" s="13" t="s">
        <v>526</v>
      </c>
      <c r="I15" s="123" t="s">
        <v>518</v>
      </c>
      <c r="J15" s="126"/>
      <c r="K15" s="2"/>
      <c r="L15" s="2"/>
      <c r="M15" s="2"/>
      <c r="N15" s="2"/>
      <c r="O15" s="2"/>
      <c r="P15" s="2"/>
      <c r="Q15" s="2"/>
      <c r="R15" s="2"/>
      <c r="S15" s="2"/>
      <c r="T15" s="2"/>
    </row>
    <row r="16" spans="1:20" ht="97" customHeight="1" x14ac:dyDescent="0.2">
      <c r="A16" s="147">
        <v>3.1</v>
      </c>
      <c r="B16" s="16" t="s">
        <v>287</v>
      </c>
      <c r="C16" s="16" t="s">
        <v>305</v>
      </c>
      <c r="D16" s="23" t="s">
        <v>278</v>
      </c>
      <c r="E16" s="28">
        <v>4</v>
      </c>
      <c r="F16" s="16" t="s">
        <v>311</v>
      </c>
      <c r="G16" s="16" t="s">
        <v>312</v>
      </c>
      <c r="H16" s="16" t="s">
        <v>44</v>
      </c>
      <c r="I16" s="122" t="s">
        <v>313</v>
      </c>
      <c r="J16" s="126"/>
      <c r="K16" s="2"/>
      <c r="L16" s="2"/>
      <c r="M16" s="2"/>
      <c r="N16" s="2"/>
      <c r="O16" s="2"/>
      <c r="P16" s="2"/>
      <c r="Q16" s="2"/>
      <c r="R16" s="2"/>
      <c r="S16" s="2"/>
      <c r="T16" s="2"/>
    </row>
    <row r="17" spans="1:20" ht="85" x14ac:dyDescent="0.2">
      <c r="A17" s="146">
        <v>4.0999999999999996</v>
      </c>
      <c r="B17" s="13" t="s">
        <v>288</v>
      </c>
      <c r="C17" s="13" t="s">
        <v>310</v>
      </c>
      <c r="D17" s="22" t="s">
        <v>267</v>
      </c>
      <c r="E17" s="32">
        <v>1</v>
      </c>
      <c r="F17" s="31" t="s">
        <v>40</v>
      </c>
      <c r="G17" s="31" t="s">
        <v>41</v>
      </c>
      <c r="H17" s="31" t="s">
        <v>42</v>
      </c>
      <c r="I17" s="124" t="s">
        <v>43</v>
      </c>
      <c r="J17" s="126"/>
      <c r="K17" s="2"/>
      <c r="L17" s="2"/>
      <c r="M17" s="2"/>
      <c r="N17" s="2"/>
      <c r="O17" s="2"/>
      <c r="P17" s="2"/>
      <c r="Q17" s="2"/>
      <c r="R17" s="2"/>
      <c r="S17" s="2"/>
      <c r="T17" s="2"/>
    </row>
    <row r="18" spans="1:20" ht="68" x14ac:dyDescent="0.2">
      <c r="A18" s="148">
        <v>5.0999999999999996</v>
      </c>
      <c r="B18" s="16" t="s">
        <v>289</v>
      </c>
      <c r="C18" s="16" t="s">
        <v>306</v>
      </c>
      <c r="D18" s="23" t="s">
        <v>278</v>
      </c>
      <c r="E18" s="28">
        <v>3</v>
      </c>
      <c r="F18" s="16" t="s">
        <v>46</v>
      </c>
      <c r="G18" s="16" t="s">
        <v>47</v>
      </c>
      <c r="H18" s="16" t="s">
        <v>48</v>
      </c>
      <c r="I18" s="122" t="s">
        <v>49</v>
      </c>
      <c r="J18" s="126"/>
      <c r="K18" s="2"/>
      <c r="L18" s="2"/>
      <c r="M18" s="2"/>
      <c r="N18" s="2"/>
      <c r="O18" s="2"/>
      <c r="P18" s="2"/>
      <c r="Q18" s="2"/>
      <c r="R18" s="2"/>
      <c r="S18" s="2"/>
      <c r="T18" s="2"/>
    </row>
    <row r="19" spans="1:20" ht="70" x14ac:dyDescent="0.2">
      <c r="A19" s="146">
        <v>5.2</v>
      </c>
      <c r="B19" s="30" t="s">
        <v>50</v>
      </c>
      <c r="C19" s="31" t="s">
        <v>307</v>
      </c>
      <c r="D19" s="23" t="s">
        <v>278</v>
      </c>
      <c r="E19" s="32">
        <v>3</v>
      </c>
      <c r="F19" s="31" t="s">
        <v>51</v>
      </c>
      <c r="G19" s="31" t="s">
        <v>52</v>
      </c>
      <c r="H19" s="31" t="s">
        <v>53</v>
      </c>
      <c r="I19" s="124" t="s">
        <v>54</v>
      </c>
      <c r="J19" s="126"/>
      <c r="K19" s="2"/>
      <c r="L19" s="2"/>
      <c r="M19" s="2"/>
      <c r="N19" s="2"/>
      <c r="O19" s="2"/>
      <c r="P19" s="2"/>
      <c r="Q19" s="2"/>
      <c r="R19" s="2"/>
      <c r="S19" s="2"/>
      <c r="T19" s="2"/>
    </row>
    <row r="20" spans="1:20" ht="68" x14ac:dyDescent="0.2">
      <c r="A20" s="146" t="s">
        <v>55</v>
      </c>
      <c r="B20" s="13" t="s">
        <v>292</v>
      </c>
      <c r="C20" s="13" t="s">
        <v>308</v>
      </c>
      <c r="D20" s="24" t="s">
        <v>272</v>
      </c>
      <c r="E20" s="19">
        <v>5</v>
      </c>
      <c r="F20" s="18" t="s">
        <v>432</v>
      </c>
      <c r="G20" s="18" t="s">
        <v>474</v>
      </c>
      <c r="H20" s="18" t="s">
        <v>434</v>
      </c>
      <c r="I20" s="125" t="s">
        <v>510</v>
      </c>
      <c r="J20" s="126"/>
      <c r="K20" s="2"/>
      <c r="L20" s="2"/>
      <c r="M20" s="2"/>
      <c r="N20" s="2"/>
      <c r="O20" s="2"/>
      <c r="P20" s="2"/>
      <c r="Q20" s="2"/>
      <c r="R20" s="2"/>
      <c r="S20" s="2"/>
      <c r="T20" s="2"/>
    </row>
    <row r="21" spans="1:20" ht="85" x14ac:dyDescent="0.2">
      <c r="A21" s="149" t="s">
        <v>58</v>
      </c>
      <c r="B21" s="18" t="s">
        <v>293</v>
      </c>
      <c r="C21" s="18" t="s">
        <v>309</v>
      </c>
      <c r="D21" s="25" t="s">
        <v>272</v>
      </c>
      <c r="E21" s="21">
        <v>5</v>
      </c>
      <c r="F21" s="211" t="s">
        <v>60</v>
      </c>
      <c r="G21" s="211" t="s">
        <v>513</v>
      </c>
      <c r="H21" s="211" t="s">
        <v>435</v>
      </c>
      <c r="I21" s="212" t="s">
        <v>433</v>
      </c>
      <c r="J21" s="126"/>
      <c r="K21" s="2"/>
      <c r="L21" s="2"/>
      <c r="M21" s="2"/>
      <c r="N21" s="2"/>
      <c r="O21" s="2"/>
      <c r="P21" s="2"/>
      <c r="Q21" s="2"/>
      <c r="R21" s="2"/>
      <c r="S21" s="2"/>
      <c r="T21" s="2"/>
    </row>
    <row r="23" spans="1:20" x14ac:dyDescent="0.2">
      <c r="A23" s="213" t="s">
        <v>517</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9"/>
  <sheetViews>
    <sheetView showGridLines="0" tabSelected="1" zoomScale="98" zoomScaleNormal="98" workbookViewId="0">
      <pane xSplit="1" ySplit="2" topLeftCell="B19" activePane="bottomRight" state="frozen"/>
      <selection pane="topRight" activeCell="B1" sqref="B1"/>
      <selection pane="bottomLeft" activeCell="A3" sqref="A3"/>
      <selection pane="bottomRight" activeCell="C32" sqref="C32"/>
    </sheetView>
  </sheetViews>
  <sheetFormatPr baseColWidth="10" defaultColWidth="8.33203125" defaultRowHeight="20" customHeight="1" x14ac:dyDescent="0.2"/>
  <cols>
    <col min="1" max="1" width="13.33203125" style="29" customWidth="1"/>
    <col min="2" max="2" width="34.6640625" style="7" customWidth="1"/>
    <col min="3" max="3" width="33.33203125" style="7" customWidth="1"/>
    <col min="4" max="4" width="19.1640625" style="5" customWidth="1"/>
    <col min="5" max="5" width="36.6640625" style="7" customWidth="1"/>
    <col min="6" max="6" width="53.33203125" style="5" customWidth="1"/>
    <col min="7" max="7" width="53.33203125" style="7" customWidth="1"/>
    <col min="8" max="8" width="58.33203125" style="5" customWidth="1"/>
    <col min="9" max="9" width="46.6640625" style="5" customWidth="1"/>
    <col min="10" max="10" width="15.1640625" style="5" customWidth="1"/>
    <col min="11" max="11" width="8.33203125" style="5" customWidth="1"/>
    <col min="12" max="16384" width="8.33203125" style="5"/>
  </cols>
  <sheetData>
    <row r="1" spans="1:12" s="27" customFormat="1" ht="45" customHeight="1" thickBot="1" x14ac:dyDescent="0.25">
      <c r="A1" s="300" t="s">
        <v>277</v>
      </c>
      <c r="B1" s="301"/>
      <c r="C1" s="301"/>
      <c r="D1" s="301"/>
      <c r="E1" s="301"/>
      <c r="F1" s="301"/>
      <c r="G1" s="301"/>
      <c r="H1" s="301"/>
      <c r="I1" s="301"/>
      <c r="J1" s="301"/>
      <c r="K1" s="26"/>
    </row>
    <row r="2" spans="1:12" s="121" customFormat="1" ht="35" customHeight="1" x14ac:dyDescent="0.2">
      <c r="A2" s="115" t="s">
        <v>331</v>
      </c>
      <c r="B2" s="116" t="s">
        <v>330</v>
      </c>
      <c r="C2" s="117" t="s">
        <v>261</v>
      </c>
      <c r="D2" s="117" t="s">
        <v>1</v>
      </c>
      <c r="E2" s="117" t="s">
        <v>262</v>
      </c>
      <c r="F2" s="117" t="s">
        <v>263</v>
      </c>
      <c r="G2" s="117" t="s">
        <v>5</v>
      </c>
      <c r="H2" s="117" t="s">
        <v>264</v>
      </c>
      <c r="I2" s="118" t="s">
        <v>6</v>
      </c>
      <c r="J2" s="119" t="s">
        <v>265</v>
      </c>
      <c r="K2" s="120"/>
    </row>
    <row r="3" spans="1:12" s="6" customFormat="1" ht="100" customHeight="1" x14ac:dyDescent="0.2">
      <c r="A3" s="144">
        <v>1.1000000000000001</v>
      </c>
      <c r="B3" s="93" t="s">
        <v>7</v>
      </c>
      <c r="C3" s="94" t="s">
        <v>266</v>
      </c>
      <c r="D3" s="95" t="s">
        <v>267</v>
      </c>
      <c r="E3" s="94" t="s">
        <v>9</v>
      </c>
      <c r="F3" s="94" t="s">
        <v>10</v>
      </c>
      <c r="G3" s="94" t="s">
        <v>11</v>
      </c>
      <c r="H3" s="94" t="s">
        <v>478</v>
      </c>
      <c r="I3" s="96" t="s">
        <v>12</v>
      </c>
      <c r="J3" s="109" t="s">
        <v>333</v>
      </c>
      <c r="K3" s="8"/>
      <c r="L3" s="8"/>
    </row>
    <row r="4" spans="1:12" s="6" customFormat="1" ht="100" customHeight="1" x14ac:dyDescent="0.2">
      <c r="A4" s="145">
        <v>1.2</v>
      </c>
      <c r="B4" s="97" t="s">
        <v>13</v>
      </c>
      <c r="C4" s="98" t="s">
        <v>266</v>
      </c>
      <c r="D4" s="95" t="s">
        <v>267</v>
      </c>
      <c r="E4" s="98" t="s">
        <v>14</v>
      </c>
      <c r="F4" s="98" t="s">
        <v>15</v>
      </c>
      <c r="G4" s="98" t="s">
        <v>16</v>
      </c>
      <c r="H4" s="98" t="s">
        <v>479</v>
      </c>
      <c r="I4" s="99" t="s">
        <v>17</v>
      </c>
      <c r="J4" s="110" t="s">
        <v>333</v>
      </c>
      <c r="K4" s="8"/>
      <c r="L4" s="8"/>
    </row>
    <row r="5" spans="1:12" s="6" customFormat="1" ht="100" customHeight="1" x14ac:dyDescent="0.2">
      <c r="A5" s="144">
        <v>1.3</v>
      </c>
      <c r="B5" s="93" t="s">
        <v>18</v>
      </c>
      <c r="C5" s="94" t="s">
        <v>266</v>
      </c>
      <c r="D5" s="100" t="s">
        <v>278</v>
      </c>
      <c r="E5" s="94" t="s">
        <v>19</v>
      </c>
      <c r="F5" s="94" t="s">
        <v>20</v>
      </c>
      <c r="G5" s="94" t="s">
        <v>21</v>
      </c>
      <c r="H5" s="94" t="s">
        <v>480</v>
      </c>
      <c r="I5" s="96" t="s">
        <v>22</v>
      </c>
      <c r="J5" s="109" t="s">
        <v>269</v>
      </c>
      <c r="K5" s="8"/>
      <c r="L5" s="8"/>
    </row>
    <row r="6" spans="1:12" s="6" customFormat="1" ht="100" customHeight="1" x14ac:dyDescent="0.2">
      <c r="A6" s="145">
        <v>1.4</v>
      </c>
      <c r="B6" s="97" t="s">
        <v>282</v>
      </c>
      <c r="C6" s="98" t="s">
        <v>266</v>
      </c>
      <c r="D6" s="100" t="s">
        <v>278</v>
      </c>
      <c r="E6" s="98" t="s">
        <v>23</v>
      </c>
      <c r="F6" s="98" t="s">
        <v>24</v>
      </c>
      <c r="G6" s="98" t="s">
        <v>25</v>
      </c>
      <c r="H6" s="98" t="s">
        <v>481</v>
      </c>
      <c r="I6" s="99" t="s">
        <v>26</v>
      </c>
      <c r="J6" s="110" t="s">
        <v>269</v>
      </c>
      <c r="K6" s="8"/>
      <c r="L6" s="8"/>
    </row>
    <row r="7" spans="1:12" s="6" customFormat="1" ht="100" customHeight="1" x14ac:dyDescent="0.2">
      <c r="A7" s="144">
        <v>1.5</v>
      </c>
      <c r="B7" s="93" t="s">
        <v>283</v>
      </c>
      <c r="C7" s="94" t="s">
        <v>266</v>
      </c>
      <c r="D7" s="100" t="s">
        <v>278</v>
      </c>
      <c r="E7" s="94" t="s">
        <v>23</v>
      </c>
      <c r="F7" s="94" t="s">
        <v>27</v>
      </c>
      <c r="G7" s="94" t="s">
        <v>28</v>
      </c>
      <c r="H7" s="94" t="s">
        <v>482</v>
      </c>
      <c r="I7" s="96" t="s">
        <v>29</v>
      </c>
      <c r="J7" s="111" t="s">
        <v>269</v>
      </c>
      <c r="K7" s="8"/>
      <c r="L7" s="8"/>
    </row>
    <row r="8" spans="1:12" s="6" customFormat="1" ht="119" x14ac:dyDescent="0.2">
      <c r="A8" s="145">
        <v>2.1</v>
      </c>
      <c r="B8" s="97" t="s">
        <v>284</v>
      </c>
      <c r="C8" s="98" t="s">
        <v>270</v>
      </c>
      <c r="D8" s="100" t="s">
        <v>278</v>
      </c>
      <c r="E8" s="98" t="s">
        <v>447</v>
      </c>
      <c r="F8" s="98" t="s">
        <v>462</v>
      </c>
      <c r="G8" s="98" t="s">
        <v>463</v>
      </c>
      <c r="H8" s="99" t="s">
        <v>483</v>
      </c>
      <c r="I8" s="99" t="s">
        <v>446</v>
      </c>
      <c r="J8" s="110" t="s">
        <v>271</v>
      </c>
      <c r="K8" s="8"/>
      <c r="L8" s="8"/>
    </row>
    <row r="9" spans="1:12" s="6" customFormat="1" ht="204" x14ac:dyDescent="0.2">
      <c r="A9" s="144">
        <v>2.2000000000000002</v>
      </c>
      <c r="B9" s="93" t="s">
        <v>320</v>
      </c>
      <c r="C9" s="94" t="s">
        <v>270</v>
      </c>
      <c r="D9" s="100" t="s">
        <v>278</v>
      </c>
      <c r="E9" s="94" t="s">
        <v>437</v>
      </c>
      <c r="F9" s="94" t="s">
        <v>484</v>
      </c>
      <c r="G9" s="94" t="s">
        <v>485</v>
      </c>
      <c r="H9" s="94" t="s">
        <v>486</v>
      </c>
      <c r="I9" s="94" t="s">
        <v>475</v>
      </c>
      <c r="J9" s="110" t="s">
        <v>271</v>
      </c>
      <c r="K9" s="8"/>
    </row>
    <row r="10" spans="1:12" s="6" customFormat="1" ht="272" x14ac:dyDescent="0.2">
      <c r="A10" s="145">
        <v>2.2999999999999998</v>
      </c>
      <c r="B10" s="93" t="s">
        <v>286</v>
      </c>
      <c r="C10" s="98" t="s">
        <v>270</v>
      </c>
      <c r="D10" s="209" t="s">
        <v>278</v>
      </c>
      <c r="E10" s="98" t="s">
        <v>441</v>
      </c>
      <c r="F10" s="98" t="s">
        <v>466</v>
      </c>
      <c r="G10" s="98" t="s">
        <v>487</v>
      </c>
      <c r="H10" s="98" t="s">
        <v>488</v>
      </c>
      <c r="I10" s="99" t="s">
        <v>442</v>
      </c>
      <c r="J10" s="110" t="s">
        <v>271</v>
      </c>
      <c r="K10" s="8"/>
    </row>
    <row r="11" spans="1:12" s="6" customFormat="1" ht="170" x14ac:dyDescent="0.2">
      <c r="A11" s="144">
        <v>2.4</v>
      </c>
      <c r="B11" s="93" t="s">
        <v>31</v>
      </c>
      <c r="C11" s="94" t="s">
        <v>270</v>
      </c>
      <c r="D11" s="100" t="s">
        <v>278</v>
      </c>
      <c r="E11" s="94" t="s">
        <v>412</v>
      </c>
      <c r="F11" s="96" t="s">
        <v>489</v>
      </c>
      <c r="G11" s="96" t="s">
        <v>519</v>
      </c>
      <c r="H11" s="96" t="s">
        <v>490</v>
      </c>
      <c r="I11" s="96" t="s">
        <v>491</v>
      </c>
      <c r="J11" s="109" t="s">
        <v>271</v>
      </c>
      <c r="K11" s="8"/>
    </row>
    <row r="12" spans="1:12" s="6" customFormat="1" ht="100" customHeight="1" x14ac:dyDescent="0.2">
      <c r="A12" s="145">
        <v>2.5</v>
      </c>
      <c r="B12" s="97" t="s">
        <v>32</v>
      </c>
      <c r="C12" s="98" t="s">
        <v>270</v>
      </c>
      <c r="D12" s="101" t="s">
        <v>272</v>
      </c>
      <c r="E12" s="98" t="s">
        <v>417</v>
      </c>
      <c r="F12" s="98" t="s">
        <v>471</v>
      </c>
      <c r="G12" s="98" t="s">
        <v>470</v>
      </c>
      <c r="H12" s="98" t="s">
        <v>492</v>
      </c>
      <c r="I12" s="99" t="s">
        <v>418</v>
      </c>
      <c r="J12" s="110" t="s">
        <v>268</v>
      </c>
      <c r="K12" s="8"/>
    </row>
    <row r="13" spans="1:12" s="6" customFormat="1" ht="153" x14ac:dyDescent="0.2">
      <c r="A13" s="144">
        <v>2.6</v>
      </c>
      <c r="B13" s="93" t="s">
        <v>33</v>
      </c>
      <c r="C13" s="94" t="s">
        <v>270</v>
      </c>
      <c r="D13" s="100" t="s">
        <v>278</v>
      </c>
      <c r="E13" s="98" t="s">
        <v>414</v>
      </c>
      <c r="F13" s="96" t="s">
        <v>493</v>
      </c>
      <c r="G13" s="96" t="s">
        <v>473</v>
      </c>
      <c r="H13" s="94" t="s">
        <v>494</v>
      </c>
      <c r="I13" s="96" t="s">
        <v>415</v>
      </c>
      <c r="J13" s="109" t="s">
        <v>269</v>
      </c>
      <c r="K13" s="8"/>
    </row>
    <row r="14" spans="1:12" s="6" customFormat="1" ht="100" customHeight="1" x14ac:dyDescent="0.2">
      <c r="A14" s="145">
        <v>2.7</v>
      </c>
      <c r="B14" s="97" t="s">
        <v>34</v>
      </c>
      <c r="C14" s="98" t="s">
        <v>270</v>
      </c>
      <c r="D14" s="100" t="s">
        <v>278</v>
      </c>
      <c r="E14" s="98" t="s">
        <v>35</v>
      </c>
      <c r="F14" s="98" t="s">
        <v>36</v>
      </c>
      <c r="G14" s="98" t="s">
        <v>37</v>
      </c>
      <c r="H14" s="98" t="s">
        <v>495</v>
      </c>
      <c r="I14" s="99" t="s">
        <v>38</v>
      </c>
      <c r="J14" s="110" t="s">
        <v>269</v>
      </c>
      <c r="K14" s="8"/>
    </row>
    <row r="15" spans="1:12" s="6" customFormat="1" ht="153" x14ac:dyDescent="0.2">
      <c r="A15" s="144">
        <v>2.8</v>
      </c>
      <c r="B15" s="93" t="s">
        <v>39</v>
      </c>
      <c r="C15" s="94" t="s">
        <v>270</v>
      </c>
      <c r="D15" s="100" t="s">
        <v>278</v>
      </c>
      <c r="E15" s="94" t="s">
        <v>259</v>
      </c>
      <c r="F15" s="94" t="s">
        <v>260</v>
      </c>
      <c r="G15" s="94" t="s">
        <v>525</v>
      </c>
      <c r="H15" s="94" t="s">
        <v>527</v>
      </c>
      <c r="I15" s="96" t="s">
        <v>520</v>
      </c>
      <c r="J15" s="109" t="s">
        <v>269</v>
      </c>
      <c r="K15" s="8"/>
    </row>
    <row r="16" spans="1:12" s="6" customFormat="1" ht="153" x14ac:dyDescent="0.2">
      <c r="A16" s="145">
        <v>3.1</v>
      </c>
      <c r="B16" s="98" t="s">
        <v>287</v>
      </c>
      <c r="C16" s="98" t="s">
        <v>327</v>
      </c>
      <c r="D16" s="100" t="s">
        <v>278</v>
      </c>
      <c r="E16" s="98" t="s">
        <v>324</v>
      </c>
      <c r="F16" s="98" t="s">
        <v>323</v>
      </c>
      <c r="G16" s="98" t="s">
        <v>326</v>
      </c>
      <c r="H16" s="98" t="s">
        <v>497</v>
      </c>
      <c r="I16" s="99" t="s">
        <v>496</v>
      </c>
      <c r="J16" s="110" t="s">
        <v>271</v>
      </c>
      <c r="K16" s="8"/>
    </row>
    <row r="17" spans="1:11" s="6" customFormat="1" ht="100" customHeight="1" x14ac:dyDescent="0.2">
      <c r="A17" s="144">
        <v>4.0999999999999996</v>
      </c>
      <c r="B17" s="94" t="s">
        <v>321</v>
      </c>
      <c r="C17" s="94" t="s">
        <v>328</v>
      </c>
      <c r="D17" s="95" t="s">
        <v>267</v>
      </c>
      <c r="E17" s="94" t="s">
        <v>40</v>
      </c>
      <c r="F17" s="94" t="s">
        <v>498</v>
      </c>
      <c r="G17" s="94" t="s">
        <v>325</v>
      </c>
      <c r="H17" s="94" t="s">
        <v>499</v>
      </c>
      <c r="I17" s="96" t="s">
        <v>43</v>
      </c>
      <c r="J17" s="109" t="s">
        <v>333</v>
      </c>
      <c r="K17" s="8"/>
    </row>
    <row r="18" spans="1:11" s="6" customFormat="1" ht="100" customHeight="1" x14ac:dyDescent="0.2">
      <c r="A18" s="145">
        <v>5.0999999999999996</v>
      </c>
      <c r="B18" s="102" t="s">
        <v>45</v>
      </c>
      <c r="C18" s="103" t="s">
        <v>329</v>
      </c>
      <c r="D18" s="100" t="s">
        <v>278</v>
      </c>
      <c r="E18" s="103" t="s">
        <v>46</v>
      </c>
      <c r="F18" s="103" t="s">
        <v>47</v>
      </c>
      <c r="G18" s="103" t="s">
        <v>48</v>
      </c>
      <c r="H18" s="103" t="s">
        <v>500</v>
      </c>
      <c r="I18" s="104" t="s">
        <v>49</v>
      </c>
      <c r="J18" s="112" t="s">
        <v>269</v>
      </c>
      <c r="K18" s="8"/>
    </row>
    <row r="19" spans="1:11" s="6" customFormat="1" ht="100" customHeight="1" x14ac:dyDescent="0.2">
      <c r="A19" s="113" t="s">
        <v>322</v>
      </c>
      <c r="B19" s="94" t="s">
        <v>50</v>
      </c>
      <c r="C19" s="94" t="s">
        <v>377</v>
      </c>
      <c r="D19" s="100" t="s">
        <v>278</v>
      </c>
      <c r="E19" s="94" t="s">
        <v>51</v>
      </c>
      <c r="F19" s="94" t="s">
        <v>52</v>
      </c>
      <c r="G19" s="94" t="s">
        <v>53</v>
      </c>
      <c r="H19" s="94" t="s">
        <v>501</v>
      </c>
      <c r="I19" s="94" t="s">
        <v>54</v>
      </c>
      <c r="J19" s="109" t="s">
        <v>269</v>
      </c>
      <c r="K19" s="8"/>
    </row>
    <row r="20" spans="1:11" s="6" customFormat="1" ht="136" x14ac:dyDescent="0.2">
      <c r="A20" s="114" t="s">
        <v>55</v>
      </c>
      <c r="B20" s="105" t="s">
        <v>56</v>
      </c>
      <c r="C20" s="94" t="s">
        <v>376</v>
      </c>
      <c r="D20" s="106" t="s">
        <v>272</v>
      </c>
      <c r="E20" s="105" t="s">
        <v>476</v>
      </c>
      <c r="F20" s="105" t="s">
        <v>474</v>
      </c>
      <c r="G20" s="105" t="s">
        <v>502</v>
      </c>
      <c r="H20" s="105" t="s">
        <v>512</v>
      </c>
      <c r="I20" s="107" t="s">
        <v>511</v>
      </c>
      <c r="J20" s="112" t="s">
        <v>268</v>
      </c>
      <c r="K20" s="8"/>
    </row>
    <row r="21" spans="1:11" s="6" customFormat="1" ht="100" customHeight="1" x14ac:dyDescent="0.2">
      <c r="A21" s="113" t="s">
        <v>58</v>
      </c>
      <c r="B21" s="94" t="s">
        <v>59</v>
      </c>
      <c r="C21" s="94" t="s">
        <v>376</v>
      </c>
      <c r="D21" s="108" t="s">
        <v>272</v>
      </c>
      <c r="E21" s="94" t="s">
        <v>60</v>
      </c>
      <c r="F21" s="94" t="s">
        <v>513</v>
      </c>
      <c r="G21" s="94" t="s">
        <v>503</v>
      </c>
      <c r="H21" s="94" t="s">
        <v>504</v>
      </c>
      <c r="I21" s="94" t="s">
        <v>433</v>
      </c>
      <c r="J21" s="109" t="s">
        <v>268</v>
      </c>
      <c r="K21" s="8"/>
    </row>
    <row r="23" spans="1:11" ht="20" customHeight="1" x14ac:dyDescent="0.2">
      <c r="A23"/>
    </row>
    <row r="25" spans="1:11" ht="20" customHeight="1" x14ac:dyDescent="0.2">
      <c r="A25" s="5"/>
    </row>
    <row r="29" spans="1:11" ht="20" customHeight="1" x14ac:dyDescent="0.2">
      <c r="B29" s="213" t="s">
        <v>517</v>
      </c>
      <c r="C29" s="213"/>
    </row>
  </sheetData>
  <mergeCells count="1">
    <mergeCell ref="A1:J1"/>
  </mergeCells>
  <pageMargins left="1" right="1" top="1" bottom="1" header="0.25" footer="0.25"/>
  <pageSetup orientation="portrait"/>
  <headerFooter>
    <oddFooter>&amp;C&amp;"Helvetica Neue,Regular"&amp;12&amp;K000000&amp;P</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3.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2026-10-21T04:36:47Z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