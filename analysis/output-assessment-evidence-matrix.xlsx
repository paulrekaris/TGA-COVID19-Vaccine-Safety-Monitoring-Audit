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filterPrivacy="1" defaultThemeVersion="166925"/>
  <xr:revisionPtr revIDLastSave="0" documentId="13_ncr:1_{2C37DB99-267D-F542-96D4-450F8ADD7B48}" xr6:coauthVersionLast="47" xr6:coauthVersionMax="47" xr10:uidLastSave="{00000000-0000-0000-0000-000000000000}"/>
  <bookViews>
    <workbookView xWindow="0" yWindow="0" windowWidth="38400" windowHeight="21600" activeTab="4" xr2:uid="{51658058-8315-A640-B733-1DFC39D6EEC8}"/>
  </bookViews>
  <sheets>
    <sheet name="Summary" sheetId="2" r:id="rId1"/>
    <sheet name="Methodology" sheetId="3" r:id="rId2"/>
    <sheet name="Rating Criteria" sheetId="4" r:id="rId3"/>
    <sheet name="Evidence Matrix" sheetId="7" r:id="rId4"/>
    <sheet name="Output Assessment" sheetId="5" r:id="rId5"/>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 i="2" l="1"/>
  <c r="C27" i="2"/>
  <c r="B27" i="2"/>
  <c r="E11" i="2"/>
  <c r="E12" i="2"/>
  <c r="E16" i="2"/>
  <c r="E17" i="2"/>
  <c r="D17" i="2"/>
  <c r="C17" i="2"/>
  <c r="B17" i="2"/>
  <c r="B7" i="2"/>
  <c r="C4" i="2"/>
  <c r="C5" i="2"/>
  <c r="C6" i="2"/>
  <c r="C7" i="2"/>
</calcChain>
</file>

<file path=xl/sharedStrings.xml><?xml version="1.0" encoding="utf-8"?>
<sst xmlns="http://schemas.openxmlformats.org/spreadsheetml/2006/main" count="621" uniqueCount="450">
  <si>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</si>
  <si>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</si>
  <si>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</si>
  <si>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</si>
  <si>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</si>
  <si>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</si>
  <si>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</si>
  <si>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</si>
  <si>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</si>
  <si>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</si>
  <si>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</si>
  <si>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</si>
  <si>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</si>
  <si>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</si>
  <si>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</si>
  <si>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</si>
  <si>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</si>
  <si>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</si>
  <si>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</si>
  <si>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</si>
  <si>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</si>
  <si>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</si>
  <si>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</si>
  <si>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</si>
  <si>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</si>
  <si>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</si>
  <si>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</si>
  <si>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</si>
  <si>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</si>
  <si>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</si>
  <si>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</si>
  <si>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</si>
  <si>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</si>
  <si>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</si>
  <si>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Not Documented</t>
  </si>
  <si>
    <t>FOI 3643, FOI 25-0166, OAIC MR22/00538 searches (531 containers), FOI 5275</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</si>
  <si>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</si>
  <si>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</si>
  <si>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</si>
  <si>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FOI 3643, FOI 25-0166, FOI 4029-03, OAIC MR22/00538 searches, FOI 5275</t>
  </si>
  <si>
    <t>FOI 4029-03: TGA presented PRR/MaxSPRT/AIR-denominator methodology to Advisory Committee (Sep 2021); FOI 5275: TGA states does not hold incidence data for AusPAR monitoring conditions (Aug 2024)</t>
  </si>
  <si>
    <t>Zero documentation of refined cumulative review processes in public reports; no statistical methodologies published; no subpopulation analysis frameworks documented; no AIR-denominator outputs in public reports despite ACV presentation</t>
  </si>
  <si>
    <t>FOI 4029-03 pp.4-6 (PRR≥1/cases≥2, MaxSPRT, AIR-denominator); FOI 5275 (no incidence data held); Surveillance Analysis (expected rates without methodology); OAIC searches found no cumulative review documentation</t>
  </si>
  <si>
    <t>Active surveillance (AusVaxSafety)</t>
  </si>
  <si>
    <t>AusVaxSafety infrastructure operated effectively: 6,887,520 COVID-19 vaccine safety surveys completed; 62,000+ medical visits documented; data appears in TGA weekly reports</t>
  </si>
  <si>
    <t>No documented coordination protocols between TGA and AusVaxSafety; no integration methodology found; OAIC searches did not use 'AusVaxSafety' as search term despite Output 2.4 commitment; no documented bridge between 6.8M surveys and 148 TGA signals</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</si>
  <si>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</si>
  <si>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</si>
  <si>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</si>
  <si>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</si>
  <si>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</si>
  <si>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</si>
  <si>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</si>
  <si>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</si>
  <si>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</si>
  <si>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</si>
  <si>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</si>
  <si>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</si>
  <si>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</si>
  <si>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</si>
  <si>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</si>
  <si>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</si>
  <si>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</si>
  <si>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</si>
  <si>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</si>
  <si>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</si>
  <si>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</si>
  <si>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</si>
  <si>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</si>
  <si>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</si>
  <si>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</si>
  <si>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</si>
  <si>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</si>
  <si>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</si>
  <si>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</si>
  <si>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</si>
  <si>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</si>
  <si>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</si>
  <si>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</si>
  <si>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FOI 3643, FOI 25-0166, OAIC MR22/00538 searches (531 containers), Senate testimony Oct 2025</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</si>
  <si>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</si>
  <si>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</si>
  <si>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</si>
  <si>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</si>
  <si>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</si>
  <si>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</si>
  <si>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</si>
  <si>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Total absence of performance metrics; no tracking of 20 outputs; no KPIs documented; 150+ weekly reports contain zero Plan framework references; no assessment at programme cessation (Nov 2023)</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</si>
  <si>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</si>
  <si>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</si>
  <si>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</si>
  <si>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</si>
  <si>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</si>
  <si>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</si>
  <si>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</si>
  <si>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</si>
  <si>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</si>
  <si>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</si>
  <si>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</si>
  <si>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</si>
  <si>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</si>
  <si>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FOI 3643, FOI 25-0166, OAIC MR22/00538 searches,  FOI 5082, AusVaxSafety public reports, TGA weekly reports</t>
  </si>
  <si>
    <t>Overview</t>
  </si>
  <si>
    <t>This audit operates within defined methodological boundaries consistent with ISO 19011:2018 (management systems auditing), ANAO performance audit methodology, and OSINT best practice.</t>
  </si>
  <si>
    <t>Complete Methodology: ISO 19011 Management Systems Audit</t>
  </si>
  <si>
    <r>
      <t>Repository:</t>
    </r>
    <r>
      <rPr>
        <sz val="12"/>
        <color theme="1"/>
        <rFont val="Calibri"/>
        <family val="2"/>
        <scheme val="minor"/>
      </rPr>
      <t xml:space="preserve"> https://github.com/paulrekaris/TGA-COVID19-Vaccine-Safety-Monitoring-Audit</t>
    </r>
  </si>
  <si>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</si>
  <si>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</si>
  <si>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</si>
  <si>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</si>
  <si>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</si>
  <si>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</si>
  <si>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</si>
  <si>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</si>
  <si>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September 2024 searches of 531+ TRIM containers under OAIC statutory direction represent TGA's own assessment of what documentation exists</t>
  </si>
  <si>
    <t>Senate testimony under parliamentary privilege is reliable</t>
  </si>
  <si>
    <t>Official statements by TGA senior officials under oath to Senate committees constitute authoritative evidence of implementation status</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</si>
  <si>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</si>
  <si>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</si>
  <si>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</si>
  <si>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</si>
  <si>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</si>
  <si>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Per ISO 19011:2018 Section 6.4.10, audit conclusions are based on evidence made available to auditor within defined scope, not hypothetical evidence that might exist elsewhere</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</si>
  <si>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</si>
  <si>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</si>
  <si>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</si>
  <si>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</si>
  <si>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</si>
  <si>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</si>
  <si>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</si>
  <si>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</si>
  <si>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</si>
  <si>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</si>
  <si>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</si>
  <si>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</si>
  <si>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</si>
  <si>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</si>
  <si>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</si>
  <si>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</si>
  <si>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</si>
  <si>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</si>
  <si>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</si>
  <si>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</si>
  <si>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</si>
  <si>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</si>
  <si>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</si>
  <si>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</si>
  <si>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</si>
  <si>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</si>
  <si>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</si>
  <si>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</si>
  <si>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</si>
  <si>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</si>
  <si>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</si>
  <si>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</si>
  <si>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</si>
  <si>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</si>
  <si>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</si>
  <si>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</si>
  <si>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</si>
  <si>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</si>
  <si>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</si>
  <si>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</si>
  <si>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</si>
  <si>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</si>
  <si>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</si>
  <si>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</si>
  <si>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</si>
  <si>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</si>
  <si>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</si>
  <si>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</si>
  <si>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</si>
  <si>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ISO 19011:2018 Section 6.4.10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</si>
  <si>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</si>
  <si>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</si>
  <si>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</si>
  <si>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</si>
  <si>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</si>
  <si>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</si>
  <si>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</si>
  <si>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</si>
  <si>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</si>
  <si>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</si>
  <si>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</si>
  <si>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</si>
  <si>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</si>
  <si>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</si>
  <si>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</si>
  <si>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</si>
  <si>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</si>
  <si>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</si>
  <si>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</si>
  <si>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Highest - official testimony under oath in parliamentary proceedings</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</si>
  <si>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</si>
  <si>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</si>
  <si>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</si>
  <si>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</si>
  <si>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</si>
  <si>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</si>
  <si>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</si>
  <si>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</si>
  <si>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</si>
  <si>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</si>
  <si>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</si>
  <si>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</si>
  <si>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</si>
  <si>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Under Commonwealth accountability frameworks (PGPA Act 2013 s37, Archives Act 1983, FOI Act 1982), the burden rests with government entities to demonstrate performance through documentation, not with oversight bodies or citizens to prove documentation doesn't exist.</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</si>
  <si>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</si>
  <si>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</si>
  <si>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</si>
  <si>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</si>
  <si>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</si>
  <si>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</si>
  <si>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</si>
  <si>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</si>
  <si>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</si>
  <si>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</si>
  <si>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</si>
  <si>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</si>
  <si>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</si>
  <si>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</si>
  <si>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</si>
  <si>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</si>
  <si>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</si>
  <si>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</si>
  <si>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</si>
  <si>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</si>
  <si>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</si>
  <si>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</si>
  <si>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(1) TGA OAIC searches (531 containers) found no relevant documentation, AND (2) FOI processes produced no evidence, AND (3) No references in public reports/testimony</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</si>
  <si>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</si>
  <si>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</si>
  <si>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</si>
  <si>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</si>
  <si>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</si>
  <si>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</si>
  <si>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</si>
  <si>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</si>
  <si>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</si>
  <si>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</si>
  <si>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</si>
  <si>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r>
      <t>Output 1.4:</t>
    </r>
    <r>
      <rPr>
        <sz val="12"/>
        <color theme="1"/>
        <rFont val="Calibri"/>
        <family val="2"/>
        <scheme val="minor"/>
      </rPr>
      <t xml:space="preserve"> Data processing occurred (140K+ reports) but no evidence this was "enhanced" preparation vs routine DAEN capabilities. Activity documented but enhancement not evidenced.</t>
    </r>
  </si>
  <si>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</si>
  <si>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</si>
  <si>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</si>
  <si>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</si>
  <si>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</si>
  <si>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</si>
  <si>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</si>
  <si>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</si>
  <si>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</si>
  <si>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</si>
  <si>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</si>
  <si>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</si>
  <si>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</si>
  <si>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</si>
  <si>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</si>
  <si>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</si>
  <si>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</si>
  <si>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</si>
  <si>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</si>
  <si>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</si>
  <si>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</si>
  <si>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</si>
  <si>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</si>
  <si>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</si>
  <si>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</si>
  <si>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</si>
  <si>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r>
      <t>Communication Outputs</t>
    </r>
    <r>
      <rPr>
        <sz val="12"/>
        <color theme="1"/>
        <rFont val="Calibri"/>
        <family val="2"/>
        <scheme val="minor"/>
      </rPr>
      <t xml:space="preserve"> (1.1, 3.1)</t>
    </r>
  </si>
  <si>
    <t>Published materials exist and are accessible (website content, reports, media releases)</t>
  </si>
  <si>
    <t>Materials exist but some gaps in systematic delivery or framework</t>
  </si>
  <si>
    <t>No public communications or materials found</t>
  </si>
  <si>
    <r>
      <t>Deliverable Outputs</t>
    </r>
    <r>
      <rPr>
        <sz val="12"/>
        <color theme="1"/>
        <rFont val="Calibri"/>
        <family val="2"/>
        <scheme val="minor"/>
      </rPr>
      <t xml:space="preserve"> (1.2 Forms)</t>
    </r>
  </si>
  <si>
    <t>Deliverable exists, publicly available, fit for purpose</t>
  </si>
  <si>
    <t>Deliverable exists but limitations/gaps identified</t>
  </si>
  <si>
    <t>Deliverable does not exist or not accessible</t>
  </si>
  <si>
    <r>
      <t>Process/Protocol Outputs</t>
    </r>
    <r>
      <rPr>
        <sz val="12"/>
        <color theme="1"/>
        <rFont val="Calibri"/>
        <family val="2"/>
        <scheme val="minor"/>
      </rPr>
      <t xml:space="preserve"> (2.2, 2.3, 2.5, 2.6)</t>
    </r>
  </si>
  <si>
    <t>Documented protocols/SOPs/frameworks exist showing systematic approach distinct from routine</t>
  </si>
  <si>
    <t>Activity evidence exists but protocols/frameworks not documented</t>
  </si>
  <si>
    <t>Zero protocols/frameworks found; comprehensive searches negative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</si>
  <si>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</si>
  <si>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</si>
  <si>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</si>
  <si>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</si>
  <si>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</si>
  <si>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</si>
  <si>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</si>
  <si>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</si>
  <si>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</si>
  <si>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r>
      <t>Fully → Partially:</t>
    </r>
    <r>
      <rPr>
        <sz val="12"/>
        <color theme="1"/>
        <rFont val="Calibri"/>
        <family val="2"/>
        <scheme val="minor"/>
      </rPr>
      <t xml:space="preserve"> If significant documentation gaps subsequently identified</t>
    </r>
  </si>
  <si>
    <r>
      <t>Partially → Fully:</t>
    </r>
    <r>
      <rPr>
        <sz val="12"/>
        <color theme="1"/>
        <rFont val="Calibri"/>
        <family val="2"/>
        <scheme val="minor"/>
      </rPr>
      <t xml:space="preserve"> If TGA produces comprehensive framework documentation</t>
    </r>
  </si>
  <si>
    <r>
      <t>Not Documented → Partially/Fully:</t>
    </r>
    <r>
      <rPr>
        <sz val="12"/>
        <color theme="1"/>
        <rFont val="Calibri"/>
        <family val="2"/>
        <scheme val="minor"/>
      </rPr>
      <t xml:space="preserve"> If TGA produces previously undisclosed documentation through FOI, OAIC direction, or public release</t>
    </r>
  </si>
  <si>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</si>
  <si>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</si>
  <si>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</si>
  <si>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</si>
  <si>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</si>
  <si>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</si>
  <si>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</si>
  <si>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</si>
  <si>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</si>
  <si>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</si>
  <si>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</si>
  <si>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r>
      <t>Why Fully:</t>
    </r>
    <r>
      <rPr>
        <sz val="12"/>
        <color theme="1"/>
        <rFont val="Calibri"/>
        <family val="2"/>
        <scheme val="minor"/>
      </rPr>
      <t xml:space="preserve"> Output 1.1 is about public communication and reporting pathways (not internal processes). Website content exists, advertising documented, weekly reports published. This is COMMUNICATION OUTPUT fully delivered.</t>
    </r>
  </si>
  <si>
    <r>
      <t>Rating:</t>
    </r>
    <r>
      <rPr>
        <sz val="12"/>
        <color theme="1"/>
        <rFont val="Calibri"/>
        <family val="2"/>
        <scheme val="minor"/>
      </rPr>
      <t xml:space="preserve"> ✓ FULLY IMPLEMENTED</t>
    </r>
  </si>
  <si>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</si>
  <si>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</si>
  <si>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</si>
  <si>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</si>
  <si>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</si>
  <si>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</si>
  <si>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</si>
  <si>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</si>
  <si>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</si>
  <si>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</si>
  <si>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r>
      <t>Rating:</t>
    </r>
    <r>
      <rPr>
        <sz val="12"/>
        <color theme="1"/>
        <rFont val="Calibri"/>
        <family val="2"/>
        <scheme val="minor"/>
      </rPr>
      <t xml:space="preserve"> ◐ PARTIALLY IMPLEMENTED</t>
    </r>
  </si>
  <si>
    <t>Example 3: Not Documented (✗)</t>
  </si>
  <si>
    <t>Output GOV.1 - Implementation oversight</t>
  </si>
  <si>
    <t>Evidence Searched:</t>
  </si>
  <si>
    <t>FOI 3643, FOI 25-0166</t>
  </si>
  <si>
    <t>OAIC MR22/00538 searches (531 containers)</t>
  </si>
  <si>
    <t>Senate testimony Oct 2025</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</si>
  <si>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</si>
  <si>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</si>
  <si>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</si>
  <si>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</si>
  <si>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</si>
  <si>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</si>
  <si>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r>
      <t>Why Not Documented:</t>
    </r>
    <r>
      <rPr>
        <sz val="12"/>
        <color theme="1"/>
        <rFont val="Calibri"/>
        <family val="2"/>
        <scheme val="minor"/>
      </rPr>
      <t xml:space="preserve"> Plan required governance/oversight mechanisms for 20 outputs. After searching 531 containers: ZERO governance documentation. Senate testimony direct admission: 'never systematically tracked'. This is TOTAL ABSENCE of Plan governance.</t>
    </r>
  </si>
  <si>
    <r>
      <t>Rating:</t>
    </r>
    <r>
      <rPr>
        <sz val="12"/>
        <color theme="1"/>
        <rFont val="Calibri"/>
        <family val="2"/>
        <scheme val="minor"/>
      </rPr>
      <t xml:space="preserve"> ✗ NOT DOCUMENTED</t>
    </r>
  </si>
  <si>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</si>
  <si>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</si>
  <si>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</si>
  <si>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</si>
  <si>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</si>
  <si>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</si>
  <si>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</si>
  <si>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</si>
  <si>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</si>
  <si>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</si>
  <si>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</si>
  <si>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</si>
  <si>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</si>
  <si>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</si>
  <si>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</si>
  <si>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</si>
  <si>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</si>
  <si>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</si>
  <si>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</si>
  <si>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</si>
  <si>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</si>
  <si>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</si>
  <si>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Plan explicitly committed to 'specific protocols for investigating AEFI reports'. After searching 531 TRIM containers, zero COVID-specific protocols found. Senate testimony confirms routine processes used. Activity happened (148 investigations) but SPECIFIC PROTOCOLS not documented.</t>
  </si>
  <si>
    <t>FOI 4029-03 proves TGA HAD Strategy 2.3 capability (presented to ACV Sep 2021) but zero outputs in concurrent public reports. FOI 5275 (Aug 2024) confirms TGA 'does not hold incidence data' 3.5 years post-approval. Contradiction: capacity shown to ACV but not documented publicly.</t>
  </si>
  <si>
    <t>FOI 3643, FOI 25-0166, OAIC MR22/00538 searches, AusVaxSafety public reports, TGA weekly reports</t>
  </si>
  <si>
    <t>Massive active surveillance activity (6.8M surveys) demonstrating AusVaxSafety delivery. BUT Plan committed TGA to 'collaborate with AusVaxSafety' - collaboration PROTOCOLS not documented. No audit trail from surveys to TGA signals. Systems parallel not integrated (documented).</t>
  </si>
  <si>
    <t>AusVaxSafety 2023 Annual Report (6.8M surveys); Surveillance Analysis (no integration documented); OAIC MR22/00538 (did not search 'AusVaxSafety'); Phillips et al 2021 ('parallel systems')</t>
  </si>
  <si>
    <t>Plan committed to enhanced processes for analysing sponsor clinical studies/reports. Zero evidence of these processes after comprehensive OAIC searches (531 containers). FOI 5275 independent corroboration of documentation gaps.</t>
  </si>
  <si>
    <t>Plan committed to 'environmental scanning' of scientific literature and regulatory decisions. After searching 531 containers, zero systematic processes documented. Ad hoc scanning may have occurred but SYSTEMATIC PROCESSES not evidenced.</t>
  </si>
  <si>
    <t>International engagement occurred (ICMRA co-chair documented) but SYSTEMATIC PROCESSES for information sharing not documented. Plan committed to processes - these not evidenced. Activity happened but framework not documented.</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</si>
  <si>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</si>
  <si>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</si>
  <si>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Plan required governance/oversight mechanisms for 20 outputs. After searching 531 containers: ZERO governance documentation. Senate testimony direct admission: 'never systematically tracked'. This is TOTAL ABSENCE of Plan governance.</t>
  </si>
  <si>
    <t>Commonwealth PGPA Act s37 requires agencies explain performance. Plan specified 20 outputs requiring tracking. TOTAL ABSENCE of performance measurement: zero tracking, zero metrics, zero assessment across 33 months. Programme ceased (Nov 2023) without evaluation.</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</si>
  <si>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</si>
  <si>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</si>
  <si>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</si>
  <si>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</si>
  <si>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</si>
  <si>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Output 2.2: Zero COVID-specific investigation protocols found in 531-container search. Output GOV.1: Zero oversight committee documentation; Senate testimony confirms "never systematically tracked". Output 2.3: Zero enhanced cumulative review processes despite Strategy 2.3 presentation to ACV.</t>
  </si>
  <si>
    <r>
      <t>Output 1.1 (communication)</t>
    </r>
    <r>
      <rPr>
        <sz val="12"/>
        <color theme="1"/>
        <rFont val="Calibri"/>
        <family val="2"/>
        <scheme val="minor"/>
      </rPr>
      <t xml:space="preserve"> = deliverable (reports exist) = Fully. </t>
    </r>
    <r>
      <rPr>
        <sz val="12"/>
        <color theme="1"/>
        <rFont val="Calibri"/>
        <family val="2"/>
        <scheme val="minor"/>
      </rPr>
      <t>Output 2.2 (investigation protocols)</t>
    </r>
    <r>
      <rPr>
        <sz val="12"/>
        <color theme="1"/>
        <rFont val="Calibri"/>
        <family val="2"/>
        <scheme val="minor"/>
      </rPr>
      <t xml:space="preserve"> = process (protocols not documented) = Not Documented. Different output types require different evidence.</t>
    </r>
  </si>
  <si>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</si>
  <si>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</si>
  <si>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</si>
  <si>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</si>
  <si>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</si>
  <si>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</si>
  <si>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</si>
  <si>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</si>
  <si>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</si>
  <si>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</si>
  <si>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</si>
  <si>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</si>
  <si>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</si>
  <si>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</si>
  <si>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</si>
  <si>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 xml:space="preserve">Governance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</si>
  <si>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</si>
  <si>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</si>
  <si>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</si>
  <si>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</si>
  <si>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</si>
  <si>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</si>
  <si>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</si>
  <si>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</si>
  <si>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</si>
  <si>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</si>
  <si>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</si>
  <si>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</si>
  <si>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</si>
  <si>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</si>
  <si>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</si>
  <si>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</si>
  <si>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</si>
  <si>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</si>
  <si>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</si>
  <si>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</si>
  <si>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</si>
  <si>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</si>
  <si>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</si>
  <si>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</si>
  <si>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</si>
  <si>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</si>
  <si>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Actions (Regulatory)</t>
  </si>
  <si>
    <t>Communications</t>
  </si>
  <si>
    <t>Signal Detection</t>
  </si>
  <si>
    <t>Enhanced AEFI Reporting</t>
  </si>
  <si>
    <t>National Collaborations</t>
  </si>
  <si>
    <t xml:space="preserve">International Collaborations </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</si>
  <si>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</si>
  <si>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</si>
  <si>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</si>
  <si>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</si>
  <si>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</si>
  <si>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</si>
  <si>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150+ weekly/fortnightly safety reports published March 2021–November 2023; TGA media releases on regulatory actions; public website content; consumer information materials.
</t>
  </si>
  <si>
    <t xml:space="preserve">None – extensive public communication documented.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</si>
  <si>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</si>
  <si>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</si>
  <si>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</si>
  <si>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</si>
  <si>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Surveillance Analysis (148 signals; 57 regulatory actions);  Senate testimony (“day-to-day processes”); FOI 3643 and OAIC searches (no rapid response protocols).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</si>
  <si>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</si>
  <si>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Consolidate timely information sharing, communication and collaboration with national stakeholders on COVID-19 vaccine safety activities and issues. (Objective 5)</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</si>
  <si>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</si>
  <si>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</si>
  <si>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</si>
  <si>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</si>
  <si>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</si>
  <si>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r>
      <t>Integration/Coordination Outputs</t>
    </r>
    <r>
      <rPr>
        <sz val="12"/>
        <color theme="1"/>
        <rFont val="Calibri"/>
        <family val="2"/>
        <scheme val="minor"/>
      </rPr>
      <t xml:space="preserve"> (2.4, 4.1, 5.1. 5.2)</t>
    </r>
  </si>
  <si>
    <t>Governance (ISO 19011:2018 5.2.3)</t>
  </si>
  <si>
    <t xml:space="preserve">Programme Assessment item </t>
  </si>
  <si>
    <t>Programme assessement item: Governance and performance measurement (ISO 19011:2018 5.2.2 and 6.3.1)</t>
  </si>
  <si>
    <r>
      <t>Governance Outputs</t>
    </r>
    <r>
      <rPr>
        <sz val="12"/>
        <color theme="1"/>
        <rFont val="Calibri"/>
        <family val="2"/>
        <scheme val="minor"/>
      </rPr>
      <t xml:space="preserve"> (GOV.1, GOV.2)</t>
    </r>
    <r>
      <rPr>
        <b/>
        <sz val="11"/>
        <color theme="1"/>
        <rFont val="Calibri"/>
        <family val="2"/>
        <scheme val="minor"/>
      </rPr>
      <t xml:space="preserve">
</t>
    </r>
    <r>
      <rPr>
        <sz val="11"/>
        <color theme="1"/>
        <rFont val="Calibri"/>
        <family val="2"/>
        <scheme val="minor"/>
      </rPr>
      <t>(ISO 19011:2018 5.2.2 and 6.3.1)</t>
    </r>
  </si>
  <si>
    <r>
      <t>Complete Audit Documentation:</t>
    </r>
    <r>
      <rPr>
        <sz val="12"/>
        <color theme="1"/>
        <rFont val="Calibri"/>
        <family val="2"/>
        <scheme val="minor"/>
      </rPr>
      <t xml:space="preserve"> https://github.com/paulrekaris/TGA-COVID19-Vaccine-Safety-Monitoring-Audit</t>
    </r>
  </si>
  <si>
    <t>International Collaborations</t>
  </si>
  <si>
    <r>
      <t>Last Updated:</t>
    </r>
    <r>
      <rPr>
        <sz val="12"/>
        <color theme="1"/>
        <rFont val="Calibri"/>
        <family val="2"/>
        <scheme val="minor"/>
      </rPr>
      <t xml:space="preserve"> 16 March 2026</t>
    </r>
  </si>
  <si>
    <r>
      <rPr>
        <b/>
        <sz val="12"/>
        <color rgb="FF595959"/>
        <rFont val="Calibri (Body)"/>
      </rPr>
      <t>Last Updated:</t>
    </r>
    <r>
      <rPr>
        <sz val="12"/>
        <color theme="1"/>
        <rFont val="Calibri (Body)"/>
      </rPr>
      <t xml:space="preserve"> 16 March 2026</t>
    </r>
  </si>
  <si>
    <r>
      <rPr>
        <b/>
        <sz val="12"/>
        <color rgb="FF595959"/>
        <rFont val="Calibri (Body)"/>
      </rPr>
      <t>Methodology:</t>
    </r>
    <r>
      <rPr>
        <sz val="12"/>
        <color theme="1"/>
        <rFont val="Calibri"/>
        <family val="2"/>
        <scheme val="minor"/>
      </rPr>
      <t xml:space="preserve"> ISO 19011:2018 (evidence-based approach), ANAO Better Practice (performance assessment), Commonwealth accountability frameworks (PGPA Act s37, Archives Act 1983)</t>
    </r>
  </si>
  <si>
    <r>
      <t>Last Updated:</t>
    </r>
    <r>
      <rPr>
        <sz val="11"/>
        <color theme="1"/>
        <rFont val="Calibri"/>
        <family val="2"/>
        <scheme val="minor"/>
      </rPr>
      <t xml:space="preserve"> </t>
    </r>
    <r>
      <rPr>
        <sz val="11"/>
        <color theme="1"/>
        <rFont val="Calibri (Body)"/>
      </rPr>
      <t>16 March 2026</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</si>
</sst>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61"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1"/>
      <color rgb="FF006100"/>
      <name val="Calibri"/>
      <family val="2"/>
      <scheme val="minor"/>
    </font>
    <font>
      <sz val="14"/>
      <color rgb="FF006100"/>
      <name val="Calibri"/>
      <family val="2"/>
      <scheme val="minor"/>
    </font>
    <font>
      <b/>
      <sz val="11"/>
      <color rgb="FF9C5700"/>
      <name val="Calibri"/>
      <family val="2"/>
      <scheme val="minor"/>
    </font>
    <font>
      <sz val="14"/>
      <color rgb="FF9C5700"/>
      <name val="Calibri"/>
      <family val="2"/>
      <scheme val="minor"/>
    </font>
    <font>
      <sz val="14"/>
      <color rgb="FF9C0006"/>
      <name val="Calibri"/>
      <family val="2"/>
      <scheme val="minor"/>
    </font>
    <font>
      <sz val="11"/>
      <color theme="1"/>
      <name val="Consolas"/>
      <family val="2"/>
    </font>
    <font>
      <sz val="11"/>
      <color rgb="FF006100"/>
      <name val="Consolas"/>
      <family val="2"/>
    </font>
    <font>
      <sz val="11"/>
      <color rgb="FF9C5700"/>
      <name val="Consolas"/>
      <family val="2"/>
    </font>
    <font>
      <sz val="11"/>
      <color rgb="FF9C0006"/>
      <name val="Consolas"/>
      <family val="2"/>
    </font>
    <font>
      <b/>
      <i/>
      <sz val="11"/>
      <color theme="1"/>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u/>
      <sz val="11"/>
      <color rgb="FF0563C1"/>
      <name val="Calibri"/>
      <family val="2"/>
      <scheme val="minor"/>
    </font>
    <font>
      <b/>
      <sz val="10"/>
      <color rgb="FF595959"/>
      <name val="Calibri"/>
      <family val="2"/>
      <scheme val="minor"/>
    </font>
    <font>
      <b/>
      <u/>
      <sz val="10"/>
      <color rgb="FF0563C1"/>
      <name val="Calibri"/>
      <family val="2"/>
      <scheme val="minor"/>
    </font>
    <font>
      <sz val="11"/>
      <color rgb="FF333333"/>
      <name val="Consolas"/>
      <family val="2"/>
    </font>
    <font>
      <b/>
      <sz val="13"/>
      <color rgb="FF006100"/>
      <name val="Calibri"/>
      <family val="2"/>
      <scheme val="minor"/>
    </font>
    <font>
      <b/>
      <sz val="13"/>
      <color rgb="FF9C5700"/>
      <name val="Calibri"/>
      <family val="2"/>
      <scheme val="minor"/>
    </font>
    <font>
      <b/>
      <sz val="13"/>
      <color rgb="FF9C0006"/>
      <name val="Calibri"/>
      <family val="2"/>
      <scheme val="minor"/>
    </font>
    <font>
      <b/>
      <sz val="20"/>
      <color rgb="FFFFFFFF"/>
      <name val="Calibri"/>
      <family val="2"/>
    </font>
    <font>
      <sz val="11"/>
      <color indexed="8"/>
      <name val="Calibri"/>
      <family val="2"/>
    </font>
    <font>
      <b/>
      <sz val="12"/>
      <color rgb="FF595959"/>
      <name val="Calibri"/>
      <family val="2"/>
      <scheme val="minor"/>
    </font>
    <font>
      <sz val="12"/>
      <color theme="1"/>
      <name val="Calibri (Body)"/>
    </font>
    <font>
      <b/>
      <sz val="12"/>
      <color rgb="FF595959"/>
      <name val="Calibri (Body)"/>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b/>
      <sz val="20"/>
      <color rgb="FF1F4E79"/>
      <name val="Calibri"/>
      <family val="2"/>
      <scheme val="minor"/>
    </font>
    <font>
      <b/>
      <sz val="20"/>
      <color theme="3"/>
      <name val="Calibri"/>
      <family val="2"/>
      <scheme val="minor"/>
    </font>
    <font>
      <sz val="20"/>
      <color theme="1"/>
      <name val="Calibri"/>
      <family val="2"/>
      <scheme val="minor"/>
    </font>
  </fonts>
  <fills count="15">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8F9FA"/>
        <bgColor indexed="64"/>
      </patternFill>
    </fill>
  </fills>
  <borders count="69">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right/>
      <top/>
      <bottom style="medium">
        <color rgb="FF9C0006"/>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thin">
        <color rgb="FFB4C6E7"/>
      </left>
      <right/>
      <top/>
      <bottom/>
      <diagonal/>
    </border>
    <border>
      <left/>
      <right style="thin">
        <color rgb="FFB4C6E7"/>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rgb="FF757171"/>
      </left>
      <right/>
      <top style="medium">
        <color rgb="FF1F4E79"/>
      </top>
      <bottom/>
      <diagonal/>
    </border>
    <border>
      <left style="thin">
        <color auto="1"/>
      </left>
      <right/>
      <top/>
      <bottom/>
      <diagonal/>
    </border>
  </borders>
  <cellStyleXfs count="3">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cellStyleXfs>
  <cellXfs count="284">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horizontal="center"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5" fillId="2" borderId="0" xfId="0" applyFont="1" applyFill="1" applyAlignment="1">
      <alignment vertical="top" wrapText="1"/>
    </xf>
    <xf numFmtId="0" fontId="16" fillId="0" borderId="0" xfId="0" applyFont="1" applyAlignment="1">
      <alignment horizontal="left" vertical="top" wrapText="1"/>
    </xf>
    <xf numFmtId="0" fontId="16" fillId="9" borderId="0" xfId="0" applyFont="1" applyFill="1" applyAlignment="1">
      <alignment horizontal="left" vertical="top" wrapText="1"/>
    </xf>
    <xf numFmtId="0" fontId="16" fillId="0" borderId="0" xfId="0" applyFont="1" applyAlignment="1">
      <alignment vertical="top" wrapText="1"/>
    </xf>
    <xf numFmtId="0" fontId="16" fillId="9" borderId="0" xfId="0" applyFont="1" applyFill="1" applyAlignment="1">
      <alignment vertical="top" wrapText="1"/>
    </xf>
    <xf numFmtId="0" fontId="18" fillId="0" borderId="0" xfId="0" applyFont="1" applyAlignment="1">
      <alignment vertical="top" wrapText="1"/>
    </xf>
    <xf numFmtId="0" fontId="18" fillId="9" borderId="0" xfId="0" applyFont="1" applyFill="1" applyAlignment="1">
      <alignment vertical="top" wrapText="1"/>
    </xf>
    <xf numFmtId="0" fontId="15" fillId="2" borderId="0" xfId="0" applyFont="1" applyFill="1" applyAlignment="1">
      <alignment horizontal="left" vertical="top" wrapText="1"/>
    </xf>
    <xf numFmtId="0" fontId="15" fillId="2" borderId="4" xfId="0" applyFont="1" applyFill="1" applyBorder="1" applyAlignment="1">
      <alignment vertical="top" wrapText="1"/>
    </xf>
    <xf numFmtId="0" fontId="15" fillId="2" borderId="5" xfId="0" applyFont="1" applyFill="1" applyBorder="1" applyAlignment="1">
      <alignment vertical="top" wrapText="1"/>
    </xf>
    <xf numFmtId="0" fontId="15" fillId="2" borderId="6" xfId="0" applyFont="1" applyFill="1" applyBorder="1" applyAlignment="1">
      <alignment vertical="top" wrapText="1"/>
    </xf>
    <xf numFmtId="0" fontId="22" fillId="3" borderId="7" xfId="0" applyFont="1" applyFill="1" applyBorder="1" applyAlignment="1">
      <alignment vertical="top" wrapText="1"/>
    </xf>
    <xf numFmtId="0" fontId="23" fillId="3" borderId="3" xfId="0" applyFont="1" applyFill="1" applyBorder="1" applyAlignment="1">
      <alignment horizontal="center" vertical="top" wrapText="1"/>
    </xf>
    <xf numFmtId="0" fontId="16" fillId="3" borderId="3" xfId="0" applyFont="1" applyFill="1" applyBorder="1" applyAlignment="1">
      <alignment vertical="top" wrapText="1"/>
    </xf>
    <xf numFmtId="0" fontId="18" fillId="3" borderId="8" xfId="0" applyFont="1" applyFill="1" applyBorder="1" applyAlignment="1">
      <alignment vertical="top" wrapText="1"/>
    </xf>
    <xf numFmtId="0" fontId="24" fillId="4" borderId="9" xfId="0" applyFont="1" applyFill="1" applyBorder="1" applyAlignment="1">
      <alignment vertical="top" wrapText="1"/>
    </xf>
    <xf numFmtId="0" fontId="25" fillId="4" borderId="2" xfId="0" applyFont="1" applyFill="1" applyBorder="1" applyAlignment="1">
      <alignment horizontal="center" vertical="top" wrapText="1"/>
    </xf>
    <xf numFmtId="0" fontId="16" fillId="4" borderId="2" xfId="0" applyFont="1" applyFill="1" applyBorder="1" applyAlignment="1">
      <alignment vertical="top" wrapText="1"/>
    </xf>
    <xf numFmtId="0" fontId="18" fillId="4" borderId="10" xfId="0" applyFont="1" applyFill="1" applyBorder="1" applyAlignment="1">
      <alignment vertical="top" wrapText="1"/>
    </xf>
    <xf numFmtId="0" fontId="15" fillId="2" borderId="4" xfId="0" applyFont="1" applyFill="1" applyBorder="1" applyAlignment="1">
      <alignment horizontal="lef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6" xfId="0" applyFill="1" applyBorder="1" applyAlignment="1">
      <alignment horizontal="center" vertical="top"/>
    </xf>
    <xf numFmtId="0" fontId="0" fillId="0" borderId="26" xfId="0" applyBorder="1" applyAlignment="1">
      <alignment horizontal="center" vertical="top"/>
    </xf>
    <xf numFmtId="0" fontId="0" fillId="0" borderId="25" xfId="0" applyBorder="1" applyAlignment="1">
      <alignment horizontal="center" vertical="top"/>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38" fillId="0" borderId="0" xfId="2" applyNumberFormat="1" applyFont="1" applyBorder="1" applyAlignment="1">
      <alignment vertical="top"/>
    </xf>
    <xf numFmtId="0" fontId="38" fillId="0" borderId="0" xfId="2" applyNumberFormat="1" applyFont="1" applyAlignment="1">
      <alignment vertical="top"/>
    </xf>
    <xf numFmtId="0" fontId="9" fillId="2" borderId="3" xfId="0" applyFont="1" applyFill="1" applyBorder="1" applyAlignment="1">
      <alignment vertical="top" wrapText="1"/>
    </xf>
    <xf numFmtId="0" fontId="0" fillId="0" borderId="21" xfId="0" applyBorder="1" applyAlignment="1">
      <alignment horizontal="center" vertical="top" wrapText="1"/>
    </xf>
    <xf numFmtId="0" fontId="12" fillId="0" borderId="0" xfId="2" applyNumberFormat="1" applyAlignment="1">
      <alignment horizontal="left" vertical="top"/>
    </xf>
    <xf numFmtId="0" fontId="18" fillId="12" borderId="0" xfId="0" applyFont="1" applyFill="1" applyAlignment="1">
      <alignment vertical="top" wrapText="1"/>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9" xfId="0" applyFont="1" applyFill="1" applyBorder="1" applyAlignment="1">
      <alignment vertical="top" wrapText="1"/>
    </xf>
    <xf numFmtId="0" fontId="16" fillId="9" borderId="36" xfId="0" applyFont="1" applyFill="1" applyBorder="1" applyAlignment="1">
      <alignment vertical="top" wrapText="1"/>
    </xf>
    <xf numFmtId="0" fontId="16" fillId="9" borderId="39" xfId="0" applyFont="1" applyFill="1" applyBorder="1" applyAlignment="1">
      <alignment vertical="top" wrapText="1"/>
    </xf>
    <xf numFmtId="0" fontId="16" fillId="9" borderId="35" xfId="0" applyFont="1" applyFill="1" applyBorder="1" applyAlignment="1">
      <alignment horizontal="center" vertical="center" wrapText="1"/>
    </xf>
    <xf numFmtId="0" fontId="16" fillId="13" borderId="38" xfId="0" applyFont="1" applyFill="1" applyBorder="1" applyAlignment="1">
      <alignment horizontal="center" vertical="center" wrapText="1"/>
    </xf>
    <xf numFmtId="0" fontId="16" fillId="9" borderId="38"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 xfId="0" applyFill="1" applyBorder="1" applyAlignment="1">
      <alignment vertical="top" wrapText="1"/>
    </xf>
    <xf numFmtId="0" fontId="0" fillId="13" borderId="40" xfId="0" applyFill="1" applyBorder="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3" xfId="0" applyFill="1" applyBorder="1" applyAlignment="1">
      <alignment vertical="top" wrapText="1"/>
    </xf>
    <xf numFmtId="0" fontId="0" fillId="13" borderId="33" xfId="0" applyFill="1" applyBorder="1" applyAlignment="1">
      <alignment vertical="top" wrapText="1"/>
    </xf>
    <xf numFmtId="0" fontId="0" fillId="13" borderId="30" xfId="0" applyFill="1" applyBorder="1" applyAlignment="1">
      <alignment vertical="top" wrapText="1"/>
    </xf>
    <xf numFmtId="0" fontId="15" fillId="2" borderId="48" xfId="0" applyFont="1" applyFill="1" applyBorder="1" applyAlignment="1">
      <alignment horizontal="center" vertical="center" wrapText="1"/>
    </xf>
    <xf numFmtId="0" fontId="16" fillId="9" borderId="49" xfId="0" applyFont="1" applyFill="1" applyBorder="1" applyAlignment="1">
      <alignment vertical="top" wrapText="1"/>
    </xf>
    <xf numFmtId="0" fontId="16" fillId="13" borderId="50" xfId="0" applyFont="1" applyFill="1" applyBorder="1" applyAlignment="1">
      <alignment vertical="top" wrapText="1"/>
    </xf>
    <xf numFmtId="0" fontId="16" fillId="9" borderId="50" xfId="0" applyFont="1" applyFill="1" applyBorder="1" applyAlignment="1">
      <alignment vertical="top" wrapText="1"/>
    </xf>
    <xf numFmtId="0" fontId="16" fillId="9" borderId="51" xfId="0" applyFont="1" applyFill="1" applyBorder="1" applyAlignment="1">
      <alignment vertical="top" wrapText="1"/>
    </xf>
    <xf numFmtId="0" fontId="15" fillId="2" borderId="52" xfId="0" applyFont="1" applyFill="1" applyBorder="1" applyAlignment="1">
      <alignment horizontal="center" vertical="center" wrapText="1"/>
    </xf>
    <xf numFmtId="0" fontId="15" fillId="2" borderId="53" xfId="0" applyFont="1" applyFill="1" applyBorder="1" applyAlignment="1">
      <alignment horizontal="center" vertical="center" wrapText="1"/>
    </xf>
    <xf numFmtId="0" fontId="18" fillId="9" borderId="35" xfId="0" applyFont="1" applyFill="1" applyBorder="1" applyAlignment="1">
      <alignment vertical="top" wrapText="1"/>
    </xf>
    <xf numFmtId="0" fontId="18" fillId="13" borderId="38" xfId="0" applyFont="1" applyFill="1" applyBorder="1" applyAlignment="1">
      <alignment vertical="top" wrapText="1"/>
    </xf>
    <xf numFmtId="0" fontId="18" fillId="9" borderId="37" xfId="0" applyFont="1" applyFill="1" applyBorder="1" applyAlignment="1">
      <alignment vertical="top" wrapText="1"/>
    </xf>
    <xf numFmtId="0" fontId="15" fillId="2" borderId="54" xfId="0" applyFont="1" applyFill="1" applyBorder="1" applyAlignment="1">
      <alignment horizontal="center" vertical="center" wrapText="1"/>
    </xf>
    <xf numFmtId="0" fontId="18" fillId="9" borderId="38"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applyAlignment="1">
      <alignment horizontal="center" vertical="top" wrapText="1"/>
    </xf>
    <xf numFmtId="0" fontId="0" fillId="13" borderId="3" xfId="0" applyFill="1" applyBorder="1" applyAlignment="1">
      <alignment horizontal="center" vertical="top" wrapText="1"/>
    </xf>
    <xf numFmtId="0" fontId="15" fillId="2" borderId="55" xfId="0" applyFont="1" applyFill="1" applyBorder="1" applyAlignment="1">
      <alignment vertical="top" wrapText="1"/>
    </xf>
    <xf numFmtId="0" fontId="15" fillId="2" borderId="0" xfId="0" applyFont="1" applyFill="1" applyAlignment="1">
      <alignment horizontal="center" vertical="top" wrapText="1"/>
    </xf>
    <xf numFmtId="0" fontId="15" fillId="2" borderId="56" xfId="0" applyFont="1" applyFill="1" applyBorder="1" applyAlignment="1">
      <alignment vertical="top" wrapText="1"/>
    </xf>
    <xf numFmtId="0" fontId="21" fillId="5" borderId="9" xfId="0" applyFont="1" applyFill="1" applyBorder="1" applyAlignment="1">
      <alignment vertical="top" wrapText="1"/>
    </xf>
    <xf numFmtId="0" fontId="26" fillId="5" borderId="2" xfId="0" applyFont="1" applyFill="1" applyBorder="1" applyAlignment="1">
      <alignment horizontal="center" vertical="top" wrapText="1"/>
    </xf>
    <xf numFmtId="0" fontId="16" fillId="5" borderId="2" xfId="0" applyFont="1" applyFill="1" applyBorder="1" applyAlignment="1">
      <alignment vertical="top" wrapText="1"/>
    </xf>
    <xf numFmtId="0" fontId="18" fillId="5" borderId="10" xfId="0" applyFont="1" applyFill="1" applyBorder="1" applyAlignment="1">
      <alignment vertical="top" wrapText="1"/>
    </xf>
    <xf numFmtId="0" fontId="0" fillId="13" borderId="40" xfId="0" applyFill="1" applyBorder="1" applyAlignment="1">
      <alignment horizontal="center" vertical="top" wrapText="1"/>
    </xf>
    <xf numFmtId="0" fontId="0" fillId="13" borderId="30" xfId="0" applyFill="1" applyBorder="1" applyAlignment="1">
      <alignment horizontal="center" vertical="top" wrapText="1"/>
    </xf>
    <xf numFmtId="0" fontId="0" fillId="13" borderId="0" xfId="0" applyFill="1" applyAlignment="1">
      <alignment vertical="top"/>
    </xf>
    <xf numFmtId="0" fontId="0" fillId="13" borderId="0" xfId="0" applyFill="1" applyAlignment="1">
      <alignment horizontal="center" vertical="top"/>
    </xf>
    <xf numFmtId="0" fontId="0" fillId="13" borderId="3" xfId="0" applyFill="1" applyBorder="1" applyAlignment="1">
      <alignment vertical="top"/>
    </xf>
    <xf numFmtId="0" fontId="0" fillId="13" borderId="3" xfId="0" applyFill="1" applyBorder="1" applyAlignment="1">
      <alignment horizontal="center" vertical="top"/>
    </xf>
    <xf numFmtId="0" fontId="0" fillId="13" borderId="60" xfId="0" applyFill="1" applyBorder="1" applyAlignment="1">
      <alignment vertical="top"/>
    </xf>
    <xf numFmtId="0" fontId="0" fillId="13" borderId="60" xfId="0" applyFill="1" applyBorder="1" applyAlignment="1">
      <alignment horizontal="center" vertical="top"/>
    </xf>
    <xf numFmtId="0" fontId="0" fillId="13" borderId="60" xfId="0" applyFill="1" applyBorder="1" applyAlignment="1">
      <alignment vertical="top" wrapText="1"/>
    </xf>
    <xf numFmtId="0" fontId="0" fillId="13" borderId="61" xfId="0" applyFill="1" applyBorder="1" applyAlignment="1">
      <alignment vertical="top"/>
    </xf>
    <xf numFmtId="0" fontId="0" fillId="13" borderId="61" xfId="0" applyFill="1" applyBorder="1" applyAlignment="1">
      <alignment vertical="top" wrapText="1"/>
    </xf>
    <xf numFmtId="0" fontId="0" fillId="13" borderId="33" xfId="0" applyFill="1" applyBorder="1" applyAlignment="1">
      <alignment vertical="top"/>
    </xf>
    <xf numFmtId="0" fontId="16" fillId="13" borderId="0" xfId="0" applyFont="1" applyFill="1" applyAlignment="1">
      <alignment vertical="top"/>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5" xfId="0" applyFont="1" applyFill="1" applyBorder="1" applyAlignment="1">
      <alignment vertical="center"/>
    </xf>
    <xf numFmtId="0" fontId="0" fillId="0" borderId="3" xfId="0" applyBorder="1" applyAlignment="1">
      <alignment horizontal="center" vertical="center"/>
    </xf>
    <xf numFmtId="0" fontId="3" fillId="4" borderId="38" xfId="0" applyFont="1" applyFill="1" applyBorder="1" applyAlignment="1">
      <alignment vertical="center"/>
    </xf>
    <xf numFmtId="0" fontId="0" fillId="0" borderId="39" xfId="0" applyBorder="1" applyAlignment="1">
      <alignment horizontal="center" vertical="center"/>
    </xf>
    <xf numFmtId="0" fontId="2" fillId="5" borderId="38" xfId="0" applyFont="1" applyFill="1" applyBorder="1" applyAlignment="1">
      <alignment vertical="center"/>
    </xf>
    <xf numFmtId="0" fontId="4" fillId="0" borderId="62"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5" xfId="0" applyFill="1" applyBorder="1" applyAlignment="1">
      <alignment vertical="center"/>
    </xf>
    <xf numFmtId="0" fontId="0" fillId="9" borderId="3" xfId="0" applyFill="1" applyBorder="1" applyAlignment="1">
      <alignment horizontal="center" vertical="center"/>
    </xf>
    <xf numFmtId="0" fontId="4" fillId="9" borderId="49" xfId="0" applyFont="1" applyFill="1" applyBorder="1" applyAlignment="1">
      <alignment horizontal="center" vertical="center"/>
    </xf>
    <xf numFmtId="0" fontId="0" fillId="0" borderId="38" xfId="0" applyBorder="1" applyAlignment="1">
      <alignment horizontal="left" vertical="center"/>
    </xf>
    <xf numFmtId="0" fontId="4" fillId="0" borderId="50" xfId="0" applyFont="1" applyBorder="1" applyAlignment="1">
      <alignment horizontal="center" vertical="center"/>
    </xf>
    <xf numFmtId="0" fontId="0" fillId="9" borderId="38" xfId="0" applyFill="1" applyBorder="1" applyAlignment="1">
      <alignment vertical="center"/>
    </xf>
    <xf numFmtId="0" fontId="0" fillId="9" borderId="39" xfId="0" applyFill="1" applyBorder="1" applyAlignment="1">
      <alignment horizontal="center" vertical="center"/>
    </xf>
    <xf numFmtId="0" fontId="4" fillId="9" borderId="50" xfId="0" applyFont="1" applyFill="1" applyBorder="1" applyAlignment="1">
      <alignment horizontal="center" vertical="center"/>
    </xf>
    <xf numFmtId="0" fontId="0" fillId="0" borderId="38" xfId="0" applyBorder="1" applyAlignment="1">
      <alignment vertical="center"/>
    </xf>
    <xf numFmtId="0" fontId="4" fillId="6" borderId="62" xfId="0" applyFont="1" applyFill="1" applyBorder="1" applyAlignment="1">
      <alignment vertical="center"/>
    </xf>
    <xf numFmtId="0" fontId="4" fillId="6" borderId="4" xfId="0" applyFont="1" applyFill="1" applyBorder="1" applyAlignment="1">
      <alignment horizontal="center" vertical="center"/>
    </xf>
    <xf numFmtId="0" fontId="4" fillId="6" borderId="63"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9" xfId="0" applyBorder="1" applyAlignment="1">
      <alignment horizontal="center" vertical="center"/>
    </xf>
    <xf numFmtId="164" fontId="0" fillId="0" borderId="39" xfId="0" applyNumberFormat="1" applyBorder="1" applyAlignment="1">
      <alignment horizontal="center" vertical="center"/>
    </xf>
    <xf numFmtId="0" fontId="0" fillId="0" borderId="50" xfId="0" applyBorder="1" applyAlignment="1">
      <alignment horizontal="center" vertical="center"/>
    </xf>
    <xf numFmtId="164" fontId="4" fillId="6" borderId="4" xfId="0" applyNumberFormat="1" applyFont="1" applyFill="1" applyBorder="1" applyAlignment="1">
      <alignment horizontal="center" vertical="center"/>
    </xf>
    <xf numFmtId="165" fontId="0" fillId="0" borderId="49" xfId="0" applyNumberFormat="1" applyBorder="1" applyAlignment="1">
      <alignment horizontal="center" vertical="center"/>
    </xf>
    <xf numFmtId="165" fontId="0" fillId="0" borderId="50" xfId="0" applyNumberFormat="1" applyBorder="1" applyAlignment="1">
      <alignment horizontal="center" vertical="center"/>
    </xf>
    <xf numFmtId="165" fontId="4" fillId="0" borderId="63" xfId="0" applyNumberFormat="1" applyFont="1" applyBorder="1" applyAlignment="1">
      <alignment horizontal="center" vertical="center"/>
    </xf>
    <xf numFmtId="49" fontId="33" fillId="9" borderId="14" xfId="2" applyNumberFormat="1" applyFont="1" applyFill="1" applyBorder="1">
      <alignment vertical="top" wrapText="1"/>
    </xf>
    <xf numFmtId="49" fontId="33" fillId="9" borderId="1" xfId="2" applyNumberFormat="1" applyFont="1" applyFill="1" applyBorder="1">
      <alignment vertical="top" wrapText="1"/>
    </xf>
    <xf numFmtId="49" fontId="34" fillId="3" borderId="1" xfId="2" applyNumberFormat="1" applyFont="1" applyFill="1" applyBorder="1" applyAlignment="1">
      <alignment horizontal="center" vertical="top" wrapText="1"/>
    </xf>
    <xf numFmtId="49" fontId="33" fillId="9" borderId="11" xfId="2" applyNumberFormat="1" applyFont="1" applyFill="1" applyBorder="1">
      <alignment vertical="top" wrapText="1"/>
    </xf>
    <xf numFmtId="49" fontId="33" fillId="0" borderId="14" xfId="2" applyNumberFormat="1" applyFont="1" applyBorder="1">
      <alignment vertical="top" wrapText="1"/>
    </xf>
    <xf numFmtId="49" fontId="33" fillId="0" borderId="1" xfId="2" applyNumberFormat="1" applyFont="1" applyBorder="1">
      <alignment vertical="top" wrapText="1"/>
    </xf>
    <xf numFmtId="49" fontId="33" fillId="0" borderId="11" xfId="2" applyNumberFormat="1" applyFont="1" applyBorder="1">
      <alignment vertical="top" wrapText="1"/>
    </xf>
    <xf numFmtId="49" fontId="35" fillId="4" borderId="1" xfId="2" applyNumberFormat="1" applyFont="1" applyFill="1" applyBorder="1" applyAlignment="1">
      <alignment horizontal="center" vertical="top" wrapText="1"/>
    </xf>
    <xf numFmtId="49" fontId="36" fillId="5" borderId="1" xfId="2" applyNumberFormat="1" applyFont="1" applyFill="1" applyBorder="1" applyAlignment="1">
      <alignment horizontal="center" vertical="top" wrapText="1"/>
    </xf>
    <xf numFmtId="49" fontId="33" fillId="7" borderId="14" xfId="2" applyNumberFormat="1" applyFont="1" applyFill="1" applyBorder="1">
      <alignment vertical="top" wrapText="1"/>
    </xf>
    <xf numFmtId="49" fontId="33" fillId="7" borderId="1" xfId="2" applyNumberFormat="1" applyFont="1" applyFill="1" applyBorder="1">
      <alignment vertical="top" wrapText="1"/>
    </xf>
    <xf numFmtId="49" fontId="33" fillId="7" borderId="11" xfId="2" applyNumberFormat="1" applyFont="1" applyFill="1" applyBorder="1">
      <alignment vertical="top" wrapText="1"/>
    </xf>
    <xf numFmtId="49" fontId="33" fillId="7" borderId="15" xfId="2" applyNumberFormat="1" applyFont="1" applyFill="1" applyBorder="1">
      <alignment vertical="top" wrapText="1"/>
    </xf>
    <xf numFmtId="49" fontId="36" fillId="5" borderId="15" xfId="2" applyNumberFormat="1" applyFont="1" applyFill="1" applyBorder="1" applyAlignment="1">
      <alignment horizontal="center" vertical="top" wrapText="1"/>
    </xf>
    <xf numFmtId="49" fontId="33" fillId="7" borderId="13" xfId="2" applyNumberFormat="1" applyFont="1" applyFill="1" applyBorder="1">
      <alignment vertical="top" wrapText="1"/>
    </xf>
    <xf numFmtId="49" fontId="36" fillId="5" borderId="16" xfId="2" applyNumberFormat="1" applyFont="1" applyFill="1" applyBorder="1" applyAlignment="1">
      <alignment horizontal="center" vertical="top" wrapText="1"/>
    </xf>
    <xf numFmtId="49" fontId="50" fillId="9" borderId="23" xfId="2" applyNumberFormat="1" applyFont="1" applyFill="1" applyBorder="1" applyAlignment="1">
      <alignment horizontal="center" vertical="center" wrapText="1"/>
    </xf>
    <xf numFmtId="49" fontId="50" fillId="0" borderId="23" xfId="2" applyNumberFormat="1" applyFont="1" applyBorder="1" applyAlignment="1">
      <alignment horizontal="center" vertical="center" wrapText="1"/>
    </xf>
    <xf numFmtId="49" fontId="50" fillId="9" borderId="22" xfId="2" applyNumberFormat="1" applyFont="1" applyFill="1" applyBorder="1" applyAlignment="1">
      <alignment horizontal="center" vertical="center" wrapText="1"/>
    </xf>
    <xf numFmtId="49" fontId="50" fillId="7" borderId="23" xfId="2" applyNumberFormat="1" applyFont="1" applyFill="1" applyBorder="1" applyAlignment="1">
      <alignment horizontal="center" vertical="center" wrapText="1"/>
    </xf>
    <xf numFmtId="49" fontId="50" fillId="9" borderId="1" xfId="2" applyNumberFormat="1" applyFont="1" applyFill="1" applyBorder="1" applyAlignment="1">
      <alignment horizontal="center" vertical="center" wrapText="1"/>
    </xf>
    <xf numFmtId="0" fontId="32" fillId="9" borderId="17" xfId="2" applyNumberFormat="1" applyFont="1" applyFill="1" applyBorder="1" applyAlignment="1">
      <alignment horizontal="center" vertical="center" wrapText="1"/>
    </xf>
    <xf numFmtId="0" fontId="32" fillId="7" borderId="17" xfId="2" applyNumberFormat="1" applyFont="1" applyFill="1" applyBorder="1" applyAlignment="1">
      <alignment horizontal="center" vertical="center" wrapText="1"/>
    </xf>
    <xf numFmtId="49" fontId="32" fillId="9" borderId="1" xfId="2" applyNumberFormat="1" applyFont="1" applyFill="1" applyBorder="1" applyAlignment="1">
      <alignment horizontal="center" vertical="center" wrapText="1"/>
    </xf>
    <xf numFmtId="49" fontId="32" fillId="7" borderId="15" xfId="2" applyNumberFormat="1" applyFont="1" applyFill="1" applyBorder="1" applyAlignment="1">
      <alignment horizontal="center" vertical="center" wrapText="1"/>
    </xf>
    <xf numFmtId="49" fontId="56" fillId="2" borderId="18" xfId="2" applyNumberFormat="1" applyFont="1" applyFill="1" applyBorder="1" applyAlignment="1">
      <alignment horizontal="center" vertical="center" wrapText="1"/>
    </xf>
    <xf numFmtId="49" fontId="56" fillId="2" borderId="19" xfId="2" applyNumberFormat="1" applyFont="1" applyFill="1" applyBorder="1" applyAlignment="1">
      <alignment horizontal="center" vertical="center" wrapText="1"/>
    </xf>
    <xf numFmtId="49" fontId="56" fillId="2" borderId="12" xfId="2" applyNumberFormat="1" applyFont="1" applyFill="1" applyBorder="1" applyAlignment="1">
      <alignment horizontal="center" vertical="center" wrapText="1"/>
    </xf>
    <xf numFmtId="49" fontId="56" fillId="2" borderId="20" xfId="2" applyNumberFormat="1" applyFont="1" applyFill="1" applyBorder="1" applyAlignment="1">
      <alignment horizontal="center" vertical="center" wrapText="1"/>
    </xf>
    <xf numFmtId="49" fontId="56" fillId="2" borderId="64" xfId="2" applyNumberFormat="1" applyFont="1" applyFill="1" applyBorder="1" applyAlignment="1">
      <alignment horizontal="center" vertical="center" wrapText="1"/>
    </xf>
    <xf numFmtId="0" fontId="57" fillId="0" borderId="0" xfId="2" applyNumberFormat="1" applyFont="1" applyBorder="1" applyAlignment="1">
      <alignment vertical="top"/>
    </xf>
    <xf numFmtId="0" fontId="57" fillId="0" borderId="0" xfId="2" applyNumberFormat="1" applyFont="1" applyAlignment="1">
      <alignment vertical="top"/>
    </xf>
    <xf numFmtId="0" fontId="0" fillId="0" borderId="26" xfId="0" applyBorder="1" applyAlignment="1">
      <alignment horizontal="left" vertical="top" wrapText="1"/>
    </xf>
    <xf numFmtId="0" fontId="9" fillId="2" borderId="67" xfId="0" applyFont="1" applyFill="1" applyBorder="1" applyAlignment="1">
      <alignment vertical="top"/>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8" xfId="0" applyBorder="1" applyAlignment="1">
      <alignment horizontal="left" vertical="top" wrapText="1"/>
    </xf>
    <xf numFmtId="0" fontId="40" fillId="2" borderId="0" xfId="0" applyFont="1" applyFill="1" applyAlignment="1">
      <alignment vertical="center" indent="1"/>
    </xf>
    <xf numFmtId="0" fontId="40" fillId="2" borderId="0" xfId="0" applyFont="1" applyFill="1" applyAlignment="1">
      <alignment vertical="center"/>
    </xf>
    <xf numFmtId="0" fontId="51" fillId="8" borderId="0" xfId="0" applyFont="1" applyFill="1" applyAlignment="1">
      <alignment vertical="center" wrapText="1" indent="1"/>
    </xf>
    <xf numFmtId="0" fontId="51" fillId="8" borderId="0" xfId="0" applyFont="1" applyFill="1" applyAlignment="1">
      <alignment vertical="center"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40" fillId="2" borderId="0" xfId="0" applyFont="1" applyFill="1" applyAlignment="1">
      <alignment horizontal="left" vertical="center" wrapText="1" indent="1"/>
    </xf>
    <xf numFmtId="0" fontId="4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41" fillId="0" borderId="0" xfId="1" applyFont="1" applyAlignment="1">
      <alignment vertical="center" wrapText="1" indent="1"/>
    </xf>
    <xf numFmtId="0" fontId="41" fillId="0" borderId="0" xfId="1" applyFont="1" applyAlignment="1">
      <alignment vertical="center" wrapText="1"/>
    </xf>
    <xf numFmtId="0" fontId="42" fillId="0" borderId="0" xfId="0" applyFont="1" applyAlignment="1">
      <alignment vertical="center" wrapText="1" indent="1"/>
    </xf>
    <xf numFmtId="0" fontId="42" fillId="0" borderId="0" xfId="0" applyFont="1" applyAlignment="1">
      <alignment vertical="center"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9" fillId="10" borderId="41" xfId="0" applyFont="1" applyFill="1" applyBorder="1" applyAlignment="1">
      <alignment vertical="center" wrapText="1" indent="1"/>
    </xf>
    <xf numFmtId="0" fontId="19" fillId="10" borderId="0" xfId="0" applyFont="1" applyFill="1" applyAlignment="1">
      <alignment vertical="center" wrapText="1"/>
    </xf>
    <xf numFmtId="0" fontId="19" fillId="10" borderId="42" xfId="0" applyFont="1" applyFill="1" applyBorder="1" applyAlignment="1">
      <alignment vertical="center" wrapText="1"/>
    </xf>
    <xf numFmtId="0" fontId="20" fillId="10" borderId="41" xfId="0" applyFont="1" applyFill="1" applyBorder="1" applyAlignment="1">
      <alignment vertical="top" wrapText="1" indent="1"/>
    </xf>
    <xf numFmtId="0" fontId="20" fillId="10" borderId="0" xfId="0" applyFont="1" applyFill="1" applyAlignment="1">
      <alignment vertical="top" wrapText="1"/>
    </xf>
    <xf numFmtId="0" fontId="20" fillId="10" borderId="42" xfId="0" applyFont="1" applyFill="1" applyBorder="1" applyAlignment="1">
      <alignment vertical="top" wrapText="1"/>
    </xf>
    <xf numFmtId="0" fontId="18" fillId="11" borderId="0" xfId="0" applyFont="1" applyFill="1" applyAlignment="1">
      <alignment vertical="top" wrapText="1"/>
    </xf>
    <xf numFmtId="0" fontId="18" fillId="11" borderId="45" xfId="0" applyFont="1" applyFill="1" applyBorder="1" applyAlignment="1">
      <alignment vertical="top" wrapText="1"/>
    </xf>
    <xf numFmtId="0" fontId="20" fillId="0" borderId="0" xfId="0" applyFont="1" applyAlignment="1">
      <alignment vertical="center" wrapText="1" indent="1"/>
    </xf>
    <xf numFmtId="0" fontId="20" fillId="0" borderId="0" xfId="0" applyFont="1" applyAlignment="1">
      <alignment vertical="center" wrapText="1"/>
    </xf>
    <xf numFmtId="0" fontId="18" fillId="9" borderId="0" xfId="0" applyFont="1" applyFill="1" applyAlignment="1">
      <alignment vertical="center" wrapText="1"/>
    </xf>
    <xf numFmtId="0" fontId="18" fillId="13" borderId="0" xfId="0" applyFont="1" applyFill="1" applyAlignment="1">
      <alignment vertical="center" wrapText="1"/>
    </xf>
    <xf numFmtId="0" fontId="16" fillId="9" borderId="0" xfId="0" applyFont="1" applyFill="1" applyAlignment="1">
      <alignment vertical="center" wrapText="1"/>
    </xf>
    <xf numFmtId="0" fontId="16" fillId="13" borderId="0" xfId="0" applyFont="1" applyFill="1" applyAlignment="1">
      <alignment vertical="center" wrapText="1"/>
    </xf>
    <xf numFmtId="0" fontId="16" fillId="0" borderId="0" xfId="0" applyFont="1" applyAlignment="1">
      <alignment vertical="center" wrapText="1" indent="1"/>
    </xf>
    <xf numFmtId="0" fontId="16" fillId="0" borderId="0" xfId="0" applyFont="1" applyAlignment="1">
      <alignment vertical="center" wrapText="1"/>
    </xf>
    <xf numFmtId="0" fontId="45" fillId="14" borderId="57" xfId="0" applyFont="1" applyFill="1" applyBorder="1" applyAlignment="1">
      <alignment vertical="center"/>
    </xf>
    <xf numFmtId="0" fontId="27" fillId="14" borderId="0" xfId="0" applyFont="1" applyFill="1" applyAlignment="1">
      <alignment vertical="center"/>
    </xf>
    <xf numFmtId="0" fontId="27" fillId="14" borderId="58" xfId="0" applyFont="1" applyFill="1" applyBorder="1" applyAlignment="1">
      <alignment vertical="center"/>
    </xf>
    <xf numFmtId="0" fontId="17" fillId="0" borderId="0" xfId="0" applyFont="1" applyAlignment="1">
      <alignment vertical="center" wrapText="1" indent="1"/>
    </xf>
    <xf numFmtId="0" fontId="17" fillId="0" borderId="0" xfId="0" applyFont="1" applyAlignment="1">
      <alignment vertical="center" wrapText="1"/>
    </xf>
    <xf numFmtId="0" fontId="28" fillId="14" borderId="57" xfId="0" applyFont="1" applyFill="1" applyBorder="1" applyAlignment="1">
      <alignment vertical="center"/>
    </xf>
    <xf numFmtId="0" fontId="28" fillId="14" borderId="0" xfId="0" applyFont="1" applyFill="1" applyAlignment="1">
      <alignment vertical="center"/>
    </xf>
    <xf numFmtId="0" fontId="28" fillId="14" borderId="58" xfId="0" applyFont="1" applyFill="1" applyBorder="1" applyAlignment="1">
      <alignment vertical="center"/>
    </xf>
    <xf numFmtId="0" fontId="29" fillId="14" borderId="57" xfId="0" applyFont="1" applyFill="1" applyBorder="1" applyAlignment="1">
      <alignment vertical="center"/>
    </xf>
    <xf numFmtId="0" fontId="29" fillId="14" borderId="0" xfId="0" applyFont="1" applyFill="1" applyAlignment="1">
      <alignment vertical="center"/>
    </xf>
    <xf numFmtId="0" fontId="29" fillId="14" borderId="58" xfId="0" applyFont="1" applyFill="1" applyBorder="1" applyAlignment="1">
      <alignment vertical="center"/>
    </xf>
    <xf numFmtId="0" fontId="30" fillId="14" borderId="57" xfId="0" applyFont="1" applyFill="1" applyBorder="1" applyAlignment="1">
      <alignment vertical="center"/>
    </xf>
    <xf numFmtId="0" fontId="30" fillId="14" borderId="0" xfId="0" applyFont="1" applyFill="1" applyAlignment="1">
      <alignment vertical="center"/>
    </xf>
    <xf numFmtId="0" fontId="30" fillId="14" borderId="58" xfId="0" applyFont="1" applyFill="1" applyBorder="1" applyAlignment="1">
      <alignment vertical="center"/>
    </xf>
    <xf numFmtId="0" fontId="14" fillId="8" borderId="29" xfId="0" applyFont="1" applyFill="1" applyBorder="1" applyAlignment="1">
      <alignment vertical="center" wrapText="1" indent="1"/>
    </xf>
    <xf numFmtId="0" fontId="14" fillId="8" borderId="29" xfId="0" applyFont="1" applyFill="1" applyBorder="1" applyAlignment="1">
      <alignment vertical="center" wrapText="1"/>
    </xf>
    <xf numFmtId="0" fontId="31" fillId="0" borderId="0" xfId="0" applyFont="1" applyAlignment="1">
      <alignment vertical="center" wrapText="1"/>
    </xf>
    <xf numFmtId="0" fontId="18" fillId="10" borderId="41" xfId="0" applyFont="1" applyFill="1" applyBorder="1" applyAlignment="1">
      <alignment vertical="center" wrapText="1" indent="1"/>
    </xf>
    <xf numFmtId="0" fontId="18" fillId="10" borderId="0" xfId="0" applyFont="1" applyFill="1" applyAlignment="1">
      <alignment vertical="center" wrapText="1"/>
    </xf>
    <xf numFmtId="0" fontId="18" fillId="10" borderId="42" xfId="0" applyFont="1" applyFill="1" applyBorder="1" applyAlignment="1">
      <alignment vertical="center" wrapText="1"/>
    </xf>
    <xf numFmtId="0" fontId="31" fillId="10" borderId="0" xfId="0" applyFont="1" applyFill="1" applyAlignment="1">
      <alignment vertical="top" wrapText="1"/>
    </xf>
    <xf numFmtId="0" fontId="18" fillId="0" borderId="0" xfId="0" applyFont="1" applyAlignment="1">
      <alignment vertical="center"/>
    </xf>
    <xf numFmtId="0" fontId="14" fillId="8" borderId="0" xfId="0" applyFont="1" applyFill="1" applyAlignment="1">
      <alignment vertical="center" indent="1"/>
    </xf>
    <xf numFmtId="0" fontId="14" fillId="8" borderId="0" xfId="0" applyFont="1" applyFill="1" applyAlignment="1">
      <alignment vertical="center"/>
    </xf>
    <xf numFmtId="0" fontId="46" fillId="3" borderId="0" xfId="0" applyFont="1" applyFill="1" applyAlignment="1">
      <alignment vertical="center" indent="1"/>
    </xf>
    <xf numFmtId="0" fontId="46" fillId="3" borderId="0" xfId="0" applyFont="1" applyFill="1" applyAlignment="1">
      <alignment vertical="center"/>
    </xf>
    <xf numFmtId="0" fontId="19" fillId="0" borderId="0" xfId="0" applyFont="1" applyAlignment="1">
      <alignment vertical="center"/>
    </xf>
    <xf numFmtId="0" fontId="18" fillId="0" borderId="0" xfId="0" applyFont="1" applyAlignment="1">
      <alignment vertical="top"/>
    </xf>
    <xf numFmtId="0" fontId="16" fillId="11" borderId="0" xfId="0" applyFont="1" applyFill="1" applyAlignment="1">
      <alignment vertical="center" wrapText="1"/>
    </xf>
    <xf numFmtId="0" fontId="6" fillId="3" borderId="0" xfId="0" applyFont="1" applyFill="1" applyAlignment="1">
      <alignment horizontal="center" vertical="center"/>
    </xf>
    <xf numFmtId="0" fontId="47" fillId="4" borderId="0" xfId="0" applyFont="1" applyFill="1" applyAlignment="1">
      <alignment vertical="center"/>
    </xf>
    <xf numFmtId="0" fontId="16" fillId="5" borderId="0" xfId="0" applyFont="1" applyFill="1" applyAlignment="1">
      <alignment vertical="center" wrapText="1"/>
    </xf>
    <xf numFmtId="0" fontId="7" fillId="4" borderId="0" xfId="0" applyFont="1" applyFill="1" applyAlignment="1">
      <alignment horizontal="center" vertical="center"/>
    </xf>
    <xf numFmtId="0" fontId="48" fillId="5" borderId="0" xfId="0" applyFont="1" applyFill="1" applyAlignment="1">
      <alignment vertical="center"/>
    </xf>
    <xf numFmtId="0" fontId="44" fillId="8" borderId="0" xfId="0" applyFont="1" applyFill="1" applyAlignment="1">
      <alignment vertical="center" wrapText="1" indent="1"/>
    </xf>
    <xf numFmtId="0" fontId="43" fillId="8" borderId="0" xfId="0" applyFont="1" applyFill="1" applyAlignment="1">
      <alignment vertical="center" wrapText="1"/>
    </xf>
    <xf numFmtId="0" fontId="8" fillId="5" borderId="0" xfId="0" applyFont="1" applyFill="1" applyAlignment="1">
      <alignment horizontal="center" vertical="center"/>
    </xf>
    <xf numFmtId="0" fontId="53" fillId="8" borderId="0" xfId="0" applyFont="1" applyFill="1" applyAlignment="1">
      <alignment vertical="center" wrapText="1" indent="1"/>
    </xf>
    <xf numFmtId="0" fontId="49" fillId="2" borderId="65" xfId="2" applyFont="1" applyFill="1" applyBorder="1" applyAlignment="1">
      <alignment horizontal="left" vertical="center" indent="1"/>
    </xf>
    <xf numFmtId="0" fontId="49" fillId="2" borderId="66" xfId="2" applyFont="1" applyFill="1" applyBorder="1" applyAlignment="1">
      <alignment horizontal="left" vertical="center"/>
    </xf>
    <xf numFmtId="0" fontId="58" fillId="8" borderId="0" xfId="0" applyFont="1" applyFill="1" applyAlignment="1">
      <alignment horizontal="left" vertical="top" wrapText="1"/>
    </xf>
    <xf numFmtId="0" fontId="59" fillId="8" borderId="0" xfId="0" applyFont="1" applyFill="1" applyAlignment="1">
      <alignment horizontal="left" vertical="top" wrapText="1"/>
    </xf>
    <xf numFmtId="0" fontId="60" fillId="8" borderId="0" xfId="0" applyFont="1" applyFill="1" applyAlignment="1">
      <alignment vertical="top" wrapText="1"/>
    </xf>
    <xf numFmtId="0" fontId="60" fillId="0" borderId="0" xfId="0" applyFont="1" applyAlignment="1">
      <alignment vertical="top"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0" fillId="13" borderId="34" xfId="0" applyFill="1" applyBorder="1" applyAlignment="1">
      <alignment horizontal="left" vertical="top" wrapText="1"/>
    </xf>
    <xf numFmtId="0" fontId="21" fillId="5" borderId="0" xfId="0" applyFont="1" applyFill="1" applyAlignment="1">
      <alignment horizontal="left" vertical="center" wrapText="1"/>
    </xf>
    <xf numFmtId="0" fontId="21" fillId="5" borderId="47" xfId="0" applyFont="1" applyFill="1" applyBorder="1" applyAlignment="1">
      <alignment horizontal="left" vertical="center" wrapText="1"/>
    </xf>
    <xf numFmtId="0" fontId="16" fillId="5" borderId="0" xfId="0" applyFont="1" applyFill="1" applyAlignment="1">
      <alignment horizontal="left" vertical="top" wrapText="1"/>
    </xf>
    <xf numFmtId="0" fontId="16" fillId="5" borderId="47" xfId="0" applyFont="1" applyFill="1" applyBorder="1" applyAlignment="1">
      <alignment horizontal="left" vertical="top" wrapText="1"/>
    </xf>
    <xf numFmtId="0" fontId="0" fillId="13" borderId="0" xfId="0" applyFill="1" applyAlignment="1">
      <alignment horizontal="left" vertical="top" wrapText="1"/>
    </xf>
    <xf numFmtId="0" fontId="14" fillId="8" borderId="0" xfId="0" applyFont="1" applyFill="1" applyAlignment="1">
      <alignment horizontal="left" vertical="center" wrapText="1"/>
    </xf>
    <xf numFmtId="0" fontId="0" fillId="13" borderId="31" xfId="0" applyFill="1" applyBorder="1" applyAlignment="1">
      <alignment horizontal="left" vertical="top" wrapText="1"/>
    </xf>
    <xf numFmtId="0" fontId="18" fillId="10" borderId="0" xfId="0" applyFont="1" applyFill="1" applyAlignment="1">
      <alignment horizontal="left" vertical="top" wrapText="1"/>
    </xf>
    <xf numFmtId="0" fontId="18" fillId="10" borderId="42"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41" fillId="0" borderId="0" xfId="1" applyFont="1" applyAlignment="1">
      <alignment horizontal="left" vertical="center" wrapText="1"/>
    </xf>
    <xf numFmtId="0" fontId="37" fillId="8" borderId="3" xfId="0" applyFont="1" applyFill="1" applyBorder="1" applyAlignment="1">
      <alignment horizontal="left" vertical="center" wrapText="1"/>
    </xf>
    <xf numFmtId="0" fontId="37" fillId="8" borderId="0" xfId="0" applyFont="1" applyFill="1" applyAlignment="1">
      <alignment horizontal="left" vertical="center" wrapText="1"/>
    </xf>
    <xf numFmtId="0" fontId="55" fillId="8" borderId="0" xfId="0" applyFont="1" applyFill="1" applyAlignment="1">
      <alignment horizontal="left" vertical="center" wrapText="1"/>
    </xf>
    <xf numFmtId="0" fontId="21" fillId="5" borderId="46" xfId="0" applyFont="1" applyFill="1" applyBorder="1" applyAlignment="1">
      <alignment horizontal="left" vertical="center" wrapText="1"/>
    </xf>
    <xf numFmtId="0" fontId="16" fillId="5" borderId="46" xfId="0" applyFont="1" applyFill="1" applyBorder="1" applyAlignment="1">
      <alignment horizontal="left" vertical="top" wrapText="1"/>
    </xf>
    <xf numFmtId="0" fontId="18" fillId="10" borderId="41" xfId="0" applyFont="1" applyFill="1" applyBorder="1" applyAlignment="1">
      <alignment horizontal="left" vertical="top" wrapText="1"/>
    </xf>
    <xf numFmtId="0" fontId="18" fillId="11" borderId="44" xfId="0" applyFont="1" applyFill="1" applyBorder="1" applyAlignment="1">
      <alignment vertical="top" wrapText="1"/>
    </xf>
    <xf numFmtId="0" fontId="31" fillId="10" borderId="59" xfId="0" applyFont="1" applyFill="1" applyBorder="1" applyAlignment="1">
      <alignment vertical="top" wrapText="1"/>
    </xf>
  </cellXfs>
  <cellStyles count="3">
    <cellStyle name="Hyperlink" xfId="1" builtinId="8"/>
    <cellStyle name="Normal" xfId="0" builtinId="0"/>
    <cellStyle name="Normal 2" xfId="2" xr:uid="{308AD68B-7CF1-4543-82CC-05C152874E6D}"/>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10</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4</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0"/>
  <sheetViews>
    <sheetView workbookViewId="0">
      <pane ySplit="1" topLeftCell="A2" activePane="bottomLeft" state="frozen"/>
      <selection pane="bottomLeft" activeCell="Q19" sqref="Q19"/>
    </sheetView>
  </sheetViews>
  <sheetFormatPr baseColWidth="10" defaultRowHeight="16" x14ac:dyDescent="0.2"/>
  <cols>
    <col min="1" max="1" width="32.33203125" customWidth="1"/>
    <col min="2" max="5" width="20" customWidth="1"/>
  </cols>
  <sheetData>
    <row r="1" spans="1:5" ht="45" customHeight="1" x14ac:dyDescent="0.2">
      <c r="A1" s="184" t="s">
        <v>89</v>
      </c>
      <c r="B1" s="185"/>
      <c r="C1" s="185"/>
      <c r="D1" s="185"/>
      <c r="E1" s="185"/>
    </row>
    <row r="2" spans="1:5" ht="10" customHeight="1" thickBot="1" x14ac:dyDescent="0.25">
      <c r="A2" s="113"/>
      <c r="B2" s="113"/>
      <c r="C2" s="113"/>
      <c r="D2" s="113"/>
      <c r="E2" s="113"/>
    </row>
    <row r="3" spans="1:5" ht="30" customHeight="1" thickBot="1" x14ac:dyDescent="0.25">
      <c r="A3" s="114" t="s">
        <v>90</v>
      </c>
      <c r="B3" s="115" t="s">
        <v>91</v>
      </c>
      <c r="C3" s="116" t="s">
        <v>92</v>
      </c>
      <c r="D3" s="116"/>
      <c r="E3" s="116"/>
    </row>
    <row r="4" spans="1:5" ht="24" customHeight="1" x14ac:dyDescent="0.2">
      <c r="A4" s="117" t="s">
        <v>340</v>
      </c>
      <c r="B4" s="118">
        <v>3</v>
      </c>
      <c r="C4" s="143">
        <f>B4/B7</f>
        <v>0.15789473684210525</v>
      </c>
    </row>
    <row r="5" spans="1:5" ht="24" customHeight="1" x14ac:dyDescent="0.2">
      <c r="A5" s="119" t="s">
        <v>374</v>
      </c>
      <c r="B5" s="120">
        <v>10</v>
      </c>
      <c r="C5" s="144">
        <f>B5/B7</f>
        <v>0.52631578947368418</v>
      </c>
    </row>
    <row r="6" spans="1:5" ht="24" customHeight="1" thickBot="1" x14ac:dyDescent="0.25">
      <c r="A6" s="121" t="s">
        <v>351</v>
      </c>
      <c r="B6" s="120">
        <v>6</v>
      </c>
      <c r="C6" s="144">
        <f>B6/B7</f>
        <v>0.31578947368421051</v>
      </c>
    </row>
    <row r="7" spans="1:5" ht="24" customHeight="1" thickBot="1" x14ac:dyDescent="0.25">
      <c r="A7" s="122" t="s">
        <v>93</v>
      </c>
      <c r="B7" s="123">
        <f>SUM(B4:B6)</f>
        <v>19</v>
      </c>
      <c r="C7" s="145">
        <f>SUM(C4:C6)</f>
        <v>0.99999999999999989</v>
      </c>
    </row>
    <row r="8" spans="1:5" ht="14" customHeight="1" x14ac:dyDescent="0.2">
      <c r="A8" s="113"/>
      <c r="B8" s="113"/>
      <c r="C8" s="113"/>
      <c r="D8" s="113"/>
      <c r="E8" s="113"/>
    </row>
    <row r="9" spans="1:5" ht="30" customHeight="1" thickBot="1" x14ac:dyDescent="0.25">
      <c r="A9" s="124" t="s">
        <v>94</v>
      </c>
      <c r="B9" s="88" t="s">
        <v>8</v>
      </c>
      <c r="C9" s="89" t="s">
        <v>223</v>
      </c>
      <c r="D9" s="90" t="s">
        <v>34</v>
      </c>
      <c r="E9" s="125" t="s">
        <v>95</v>
      </c>
    </row>
    <row r="10" spans="1:5" ht="24" customHeight="1" x14ac:dyDescent="0.2">
      <c r="A10" s="126" t="s">
        <v>416</v>
      </c>
      <c r="B10" s="127">
        <v>2</v>
      </c>
      <c r="C10" s="127">
        <v>3</v>
      </c>
      <c r="D10" s="127">
        <v>0</v>
      </c>
      <c r="E10" s="128">
        <f>SUM(B10:D10)</f>
        <v>5</v>
      </c>
    </row>
    <row r="11" spans="1:5" ht="24" customHeight="1" x14ac:dyDescent="0.2">
      <c r="A11" s="129" t="s">
        <v>415</v>
      </c>
      <c r="B11" s="120">
        <v>0</v>
      </c>
      <c r="C11" s="120">
        <v>4</v>
      </c>
      <c r="D11" s="120">
        <v>4</v>
      </c>
      <c r="E11" s="130">
        <f t="shared" ref="E11:E16" si="0">SUM(B11:D11)</f>
        <v>8</v>
      </c>
    </row>
    <row r="12" spans="1:5" ht="24" customHeight="1" x14ac:dyDescent="0.2">
      <c r="A12" s="131" t="s">
        <v>413</v>
      </c>
      <c r="B12" s="132">
        <v>0</v>
      </c>
      <c r="C12" s="132">
        <v>1</v>
      </c>
      <c r="D12" s="132">
        <v>0</v>
      </c>
      <c r="E12" s="133">
        <f t="shared" si="0"/>
        <v>1</v>
      </c>
    </row>
    <row r="13" spans="1:5" ht="24" customHeight="1" x14ac:dyDescent="0.2">
      <c r="A13" s="134" t="s">
        <v>414</v>
      </c>
      <c r="B13" s="120">
        <v>1</v>
      </c>
      <c r="C13" s="120">
        <v>0</v>
      </c>
      <c r="D13" s="120">
        <v>0</v>
      </c>
      <c r="E13" s="130">
        <v>1</v>
      </c>
    </row>
    <row r="14" spans="1:5" ht="24" customHeight="1" x14ac:dyDescent="0.2">
      <c r="A14" s="131" t="s">
        <v>417</v>
      </c>
      <c r="B14" s="132">
        <v>0</v>
      </c>
      <c r="C14" s="132">
        <v>1</v>
      </c>
      <c r="D14" s="132">
        <v>0</v>
      </c>
      <c r="E14" s="133">
        <v>1</v>
      </c>
    </row>
    <row r="15" spans="1:5" ht="24" customHeight="1" x14ac:dyDescent="0.2">
      <c r="A15" s="134" t="s">
        <v>445</v>
      </c>
      <c r="B15" s="120">
        <v>0</v>
      </c>
      <c r="C15" s="120">
        <v>1</v>
      </c>
      <c r="D15" s="120">
        <v>0</v>
      </c>
      <c r="E15" s="130">
        <v>1</v>
      </c>
    </row>
    <row r="16" spans="1:5" ht="24" customHeight="1" thickBot="1" x14ac:dyDescent="0.25">
      <c r="A16" s="131" t="s">
        <v>78</v>
      </c>
      <c r="B16" s="132">
        <v>0</v>
      </c>
      <c r="C16" s="132">
        <v>0</v>
      </c>
      <c r="D16" s="132">
        <v>2</v>
      </c>
      <c r="E16" s="133">
        <f t="shared" si="0"/>
        <v>2</v>
      </c>
    </row>
    <row r="17" spans="1:5" ht="24" customHeight="1" thickBot="1" x14ac:dyDescent="0.25">
      <c r="A17" s="135" t="s">
        <v>93</v>
      </c>
      <c r="B17" s="136">
        <f>SUM(B10:B16)</f>
        <v>3</v>
      </c>
      <c r="C17" s="136">
        <f>SUM(C10:C16)</f>
        <v>10</v>
      </c>
      <c r="D17" s="136">
        <f>SUM(D10:D16)</f>
        <v>6</v>
      </c>
      <c r="E17" s="137">
        <f>SUM(E10:E16)</f>
        <v>19</v>
      </c>
    </row>
    <row r="18" spans="1:5" ht="14" customHeight="1" x14ac:dyDescent="0.2">
      <c r="A18" s="113"/>
      <c r="B18" s="113"/>
      <c r="C18" s="113"/>
      <c r="D18" s="113"/>
      <c r="E18" s="113"/>
    </row>
    <row r="19" spans="1:5" ht="30" customHeight="1" thickBot="1" x14ac:dyDescent="0.25">
      <c r="A19" s="124" t="s">
        <v>96</v>
      </c>
      <c r="B19" s="125" t="s">
        <v>91</v>
      </c>
      <c r="C19" s="125" t="s">
        <v>97</v>
      </c>
      <c r="D19" s="125" t="s">
        <v>98</v>
      </c>
      <c r="E19" s="125" t="s">
        <v>99</v>
      </c>
    </row>
    <row r="20" spans="1:5" ht="24" customHeight="1" x14ac:dyDescent="0.2">
      <c r="A20" s="126" t="s">
        <v>416</v>
      </c>
      <c r="B20" s="118">
        <v>5</v>
      </c>
      <c r="C20" s="138">
        <v>3.8</v>
      </c>
      <c r="D20" s="118">
        <v>3</v>
      </c>
      <c r="E20" s="139">
        <v>5</v>
      </c>
    </row>
    <row r="21" spans="1:5" ht="24" customHeight="1" x14ac:dyDescent="0.2">
      <c r="A21" s="129" t="s">
        <v>415</v>
      </c>
      <c r="B21" s="120">
        <v>8</v>
      </c>
      <c r="C21" s="140">
        <v>4</v>
      </c>
      <c r="D21" s="120">
        <v>3</v>
      </c>
      <c r="E21" s="141">
        <v>5</v>
      </c>
    </row>
    <row r="22" spans="1:5" ht="24" customHeight="1" x14ac:dyDescent="0.2">
      <c r="A22" s="131" t="s">
        <v>413</v>
      </c>
      <c r="B22" s="120">
        <v>1</v>
      </c>
      <c r="C22" s="140">
        <v>5</v>
      </c>
      <c r="D22" s="120">
        <v>5</v>
      </c>
      <c r="E22" s="141">
        <v>5</v>
      </c>
    </row>
    <row r="23" spans="1:5" ht="24" customHeight="1" x14ac:dyDescent="0.2">
      <c r="A23" s="134" t="s">
        <v>414</v>
      </c>
      <c r="B23" s="120">
        <v>1</v>
      </c>
      <c r="C23" s="140">
        <v>4</v>
      </c>
      <c r="D23" s="120">
        <v>4</v>
      </c>
      <c r="E23" s="141">
        <v>4</v>
      </c>
    </row>
    <row r="24" spans="1:5" ht="24" customHeight="1" x14ac:dyDescent="0.2">
      <c r="A24" s="131" t="s">
        <v>417</v>
      </c>
      <c r="B24" s="120">
        <v>1</v>
      </c>
      <c r="C24" s="140">
        <v>2</v>
      </c>
      <c r="D24" s="120">
        <v>2</v>
      </c>
      <c r="E24" s="141">
        <v>2</v>
      </c>
    </row>
    <row r="25" spans="1:5" ht="24" customHeight="1" x14ac:dyDescent="0.2">
      <c r="A25" s="134" t="s">
        <v>418</v>
      </c>
      <c r="B25" s="120">
        <v>1</v>
      </c>
      <c r="C25" s="140">
        <v>3</v>
      </c>
      <c r="D25" s="120">
        <v>3</v>
      </c>
      <c r="E25" s="141">
        <v>3</v>
      </c>
    </row>
    <row r="26" spans="1:5" ht="24" customHeight="1" thickBot="1" x14ac:dyDescent="0.25">
      <c r="A26" s="131" t="s">
        <v>440</v>
      </c>
      <c r="B26" s="120">
        <v>2</v>
      </c>
      <c r="C26" s="140">
        <v>5</v>
      </c>
      <c r="D26" s="120">
        <v>5</v>
      </c>
      <c r="E26" s="141">
        <v>5</v>
      </c>
    </row>
    <row r="27" spans="1:5" ht="24" customHeight="1" thickBot="1" x14ac:dyDescent="0.25">
      <c r="A27" s="135" t="s">
        <v>100</v>
      </c>
      <c r="B27" s="136">
        <f>SUM(B20:B26)</f>
        <v>19</v>
      </c>
      <c r="C27" s="142">
        <f>AVERAGE(C20:C26)</f>
        <v>3.8285714285714287</v>
      </c>
      <c r="D27" s="136">
        <v>2</v>
      </c>
      <c r="E27" s="137">
        <v>5</v>
      </c>
    </row>
    <row r="30" spans="1:5" x14ac:dyDescent="0.2">
      <c r="A30" s="186" t="s">
        <v>446</v>
      </c>
      <c r="B30" s="187"/>
      <c r="C30" s="187"/>
      <c r="D30" s="187"/>
      <c r="E30" s="187"/>
    </row>
  </sheetData>
  <mergeCells count="2">
    <mergeCell ref="A1:E1"/>
    <mergeCell ref="A30:E3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workbookViewId="0">
      <pane ySplit="1" topLeftCell="A70" activePane="bottomLeft" state="frozen"/>
      <selection pane="bottomLeft" activeCell="A69" sqref="A69:D69"/>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5"/>
  </cols>
  <sheetData>
    <row r="1" spans="1:4" ht="45" customHeight="1" x14ac:dyDescent="0.2">
      <c r="A1" s="190" t="s">
        <v>212</v>
      </c>
      <c r="B1" s="191"/>
      <c r="C1" s="191"/>
      <c r="D1" s="191"/>
    </row>
    <row r="2" spans="1:4" ht="8" customHeight="1" x14ac:dyDescent="0.2">
      <c r="A2" s="68"/>
      <c r="B2" s="68"/>
      <c r="C2" s="68"/>
      <c r="D2" s="68"/>
    </row>
    <row r="3" spans="1:4" ht="32" customHeight="1" x14ac:dyDescent="0.2">
      <c r="A3" s="188" t="s">
        <v>102</v>
      </c>
      <c r="B3" s="189"/>
      <c r="C3" s="189"/>
      <c r="D3" s="189"/>
    </row>
    <row r="4" spans="1:4" ht="8" customHeight="1" x14ac:dyDescent="0.2">
      <c r="A4" s="68"/>
      <c r="B4" s="68"/>
      <c r="C4" s="68"/>
      <c r="D4" s="68"/>
    </row>
    <row r="5" spans="1:4" ht="19" customHeight="1" x14ac:dyDescent="0.2">
      <c r="A5" s="192" t="s">
        <v>103</v>
      </c>
      <c r="B5" s="193"/>
      <c r="C5" s="193"/>
      <c r="D5" s="193"/>
    </row>
    <row r="6" spans="1:4" ht="8" customHeight="1" x14ac:dyDescent="0.2">
      <c r="A6" s="68"/>
      <c r="B6" s="68"/>
      <c r="C6" s="68"/>
      <c r="D6" s="68"/>
    </row>
    <row r="7" spans="1:4" ht="20" customHeight="1" x14ac:dyDescent="0.2">
      <c r="A7" s="194" t="s">
        <v>104</v>
      </c>
      <c r="B7" s="195"/>
      <c r="C7" s="195"/>
      <c r="D7" s="195"/>
    </row>
    <row r="8" spans="1:4" ht="8" customHeight="1" x14ac:dyDescent="0.2">
      <c r="A8" s="68"/>
      <c r="B8" s="68"/>
      <c r="C8" s="68"/>
      <c r="D8" s="68"/>
    </row>
    <row r="9" spans="1:4" ht="20" customHeight="1" x14ac:dyDescent="0.2">
      <c r="A9" s="196" t="s">
        <v>105</v>
      </c>
      <c r="B9" s="197"/>
      <c r="C9" s="197"/>
      <c r="D9" s="197"/>
    </row>
    <row r="10" spans="1:4" ht="8" customHeight="1" x14ac:dyDescent="0.2">
      <c r="A10" s="68"/>
      <c r="B10" s="68"/>
      <c r="C10" s="68"/>
      <c r="D10" s="68"/>
    </row>
    <row r="11" spans="1:4" ht="32" customHeight="1" x14ac:dyDescent="0.2">
      <c r="A11" s="188" t="s">
        <v>106</v>
      </c>
      <c r="B11" s="189"/>
      <c r="C11" s="189"/>
      <c r="D11" s="189"/>
    </row>
    <row r="12" spans="1:4" ht="8" customHeight="1" x14ac:dyDescent="0.2">
      <c r="A12" s="68"/>
      <c r="B12" s="68"/>
      <c r="C12" s="68"/>
      <c r="D12" s="68"/>
    </row>
    <row r="13" spans="1:4" ht="28" customHeight="1" thickBot="1" x14ac:dyDescent="0.25">
      <c r="A13" s="82" t="s">
        <v>364</v>
      </c>
      <c r="B13" s="67" t="s">
        <v>107</v>
      </c>
      <c r="C13" s="76" t="s">
        <v>108</v>
      </c>
    </row>
    <row r="14" spans="1:4" ht="48" customHeight="1" x14ac:dyDescent="0.2">
      <c r="A14" s="63">
        <v>1</v>
      </c>
      <c r="B14" s="59" t="s">
        <v>109</v>
      </c>
      <c r="C14" s="77" t="s">
        <v>110</v>
      </c>
    </row>
    <row r="15" spans="1:4" ht="48" customHeight="1" x14ac:dyDescent="0.2">
      <c r="A15" s="64">
        <v>2</v>
      </c>
      <c r="B15" s="60" t="s">
        <v>111</v>
      </c>
      <c r="C15" s="78" t="s">
        <v>112</v>
      </c>
    </row>
    <row r="16" spans="1:4" ht="48" customHeight="1" x14ac:dyDescent="0.2">
      <c r="A16" s="65">
        <v>3</v>
      </c>
      <c r="B16" s="62" t="s">
        <v>113</v>
      </c>
      <c r="C16" s="79" t="s">
        <v>114</v>
      </c>
    </row>
    <row r="17" spans="1:4" ht="48" customHeight="1" x14ac:dyDescent="0.2">
      <c r="A17" s="64">
        <v>4</v>
      </c>
      <c r="B17" s="60" t="s">
        <v>115</v>
      </c>
      <c r="C17" s="78" t="s">
        <v>116</v>
      </c>
    </row>
    <row r="18" spans="1:4" ht="48" customHeight="1" x14ac:dyDescent="0.2">
      <c r="A18" s="65">
        <v>5</v>
      </c>
      <c r="B18" s="62" t="s">
        <v>117</v>
      </c>
      <c r="C18" s="79" t="s">
        <v>118</v>
      </c>
    </row>
    <row r="19" spans="1:4" ht="48" customHeight="1" x14ac:dyDescent="0.2">
      <c r="A19" s="64">
        <v>6</v>
      </c>
      <c r="B19" s="60" t="s">
        <v>119</v>
      </c>
      <c r="C19" s="78" t="s">
        <v>120</v>
      </c>
    </row>
    <row r="20" spans="1:4" ht="48" customHeight="1" x14ac:dyDescent="0.2">
      <c r="A20" s="66">
        <v>7</v>
      </c>
      <c r="B20" s="61" t="s">
        <v>121</v>
      </c>
      <c r="C20" s="80" t="s">
        <v>122</v>
      </c>
    </row>
    <row r="21" spans="1:4" ht="8" customHeight="1" x14ac:dyDescent="0.2">
      <c r="A21" s="68"/>
      <c r="B21" s="68"/>
      <c r="C21" s="68"/>
      <c r="D21" s="68"/>
    </row>
    <row r="22" spans="1:4" ht="32" customHeight="1" x14ac:dyDescent="0.2">
      <c r="A22" s="188" t="s">
        <v>123</v>
      </c>
      <c r="B22" s="189"/>
      <c r="C22" s="189"/>
      <c r="D22" s="189"/>
    </row>
    <row r="23" spans="1:4" ht="8" customHeight="1" x14ac:dyDescent="0.2">
      <c r="A23" s="68"/>
      <c r="B23" s="68"/>
      <c r="C23" s="68"/>
      <c r="D23" s="68"/>
    </row>
    <row r="24" spans="1:4" ht="26" customHeight="1" x14ac:dyDescent="0.2">
      <c r="A24" s="198" t="s">
        <v>124</v>
      </c>
      <c r="B24" s="199"/>
      <c r="C24" s="199"/>
      <c r="D24" s="199"/>
    </row>
    <row r="25" spans="1:4" ht="8" customHeight="1" x14ac:dyDescent="0.2">
      <c r="A25" s="68"/>
      <c r="B25" s="68"/>
      <c r="C25" s="68"/>
      <c r="D25" s="68"/>
    </row>
    <row r="26" spans="1:4" ht="28" customHeight="1" thickBot="1" x14ac:dyDescent="0.25">
      <c r="A26" s="82" t="s">
        <v>125</v>
      </c>
      <c r="B26" s="67" t="s">
        <v>126</v>
      </c>
      <c r="C26" s="76" t="s">
        <v>127</v>
      </c>
    </row>
    <row r="27" spans="1:4" ht="42" customHeight="1" x14ac:dyDescent="0.2">
      <c r="A27" s="83" t="s">
        <v>128</v>
      </c>
      <c r="B27" s="59" t="s">
        <v>129</v>
      </c>
      <c r="C27" s="77" t="s">
        <v>130</v>
      </c>
    </row>
    <row r="28" spans="1:4" ht="42" customHeight="1" x14ac:dyDescent="0.2">
      <c r="A28" s="84" t="s">
        <v>131</v>
      </c>
      <c r="B28" s="60" t="s">
        <v>132</v>
      </c>
      <c r="C28" s="78" t="s">
        <v>133</v>
      </c>
    </row>
    <row r="29" spans="1:4" ht="42" customHeight="1" x14ac:dyDescent="0.2">
      <c r="A29" s="85" t="s">
        <v>134</v>
      </c>
      <c r="B29" s="61" t="s">
        <v>135</v>
      </c>
      <c r="C29" s="80" t="s">
        <v>136</v>
      </c>
    </row>
    <row r="30" spans="1:4" ht="8" customHeight="1" x14ac:dyDescent="0.2">
      <c r="A30" s="68"/>
      <c r="B30" s="68"/>
      <c r="C30" s="68"/>
      <c r="D30" s="68"/>
    </row>
    <row r="31" spans="1:4" ht="26" customHeight="1" x14ac:dyDescent="0.2">
      <c r="A31" s="198" t="s">
        <v>137</v>
      </c>
      <c r="B31" s="199"/>
      <c r="C31" s="199"/>
      <c r="D31" s="199"/>
    </row>
    <row r="32" spans="1:4" ht="8" customHeight="1" x14ac:dyDescent="0.2">
      <c r="A32" s="68"/>
      <c r="B32" s="68"/>
      <c r="C32" s="68"/>
      <c r="D32" s="68"/>
    </row>
    <row r="33" spans="1:4" ht="28" customHeight="1" thickBot="1" x14ac:dyDescent="0.25">
      <c r="A33" s="82" t="s">
        <v>138</v>
      </c>
      <c r="B33" s="67" t="s">
        <v>126</v>
      </c>
      <c r="C33" s="76" t="s">
        <v>127</v>
      </c>
    </row>
    <row r="34" spans="1:4" ht="42" customHeight="1" x14ac:dyDescent="0.2">
      <c r="A34" s="83" t="s">
        <v>139</v>
      </c>
      <c r="B34" s="59" t="s">
        <v>140</v>
      </c>
      <c r="C34" s="77" t="s">
        <v>141</v>
      </c>
    </row>
    <row r="35" spans="1:4" ht="42" customHeight="1" x14ac:dyDescent="0.2">
      <c r="A35" s="84" t="s">
        <v>142</v>
      </c>
      <c r="B35" s="60" t="s">
        <v>143</v>
      </c>
      <c r="C35" s="78" t="s">
        <v>144</v>
      </c>
    </row>
    <row r="36" spans="1:4" ht="42" customHeight="1" x14ac:dyDescent="0.2">
      <c r="A36" s="85" t="s">
        <v>145</v>
      </c>
      <c r="B36" s="61" t="s">
        <v>146</v>
      </c>
      <c r="C36" s="80" t="s">
        <v>147</v>
      </c>
    </row>
    <row r="37" spans="1:4" ht="8" customHeight="1" x14ac:dyDescent="0.2">
      <c r="A37" s="68"/>
      <c r="B37" s="68"/>
      <c r="C37" s="68"/>
      <c r="D37" s="68"/>
    </row>
    <row r="38" spans="1:4" ht="26" customHeight="1" x14ac:dyDescent="0.2">
      <c r="A38" s="198" t="s">
        <v>148</v>
      </c>
      <c r="B38" s="199"/>
      <c r="C38" s="199"/>
      <c r="D38" s="199"/>
    </row>
    <row r="39" spans="1:4" ht="8" customHeight="1" x14ac:dyDescent="0.2">
      <c r="A39" s="68"/>
      <c r="B39" s="68"/>
      <c r="C39" s="68"/>
      <c r="D39" s="68"/>
    </row>
    <row r="40" spans="1:4" ht="28" customHeight="1" thickBot="1" x14ac:dyDescent="0.25">
      <c r="A40" s="82" t="s">
        <v>138</v>
      </c>
      <c r="B40" s="67" t="s">
        <v>126</v>
      </c>
      <c r="C40" s="76" t="s">
        <v>127</v>
      </c>
    </row>
    <row r="41" spans="1:4" ht="42" customHeight="1" x14ac:dyDescent="0.2">
      <c r="A41" s="83" t="s">
        <v>149</v>
      </c>
      <c r="B41" s="59" t="s">
        <v>150</v>
      </c>
      <c r="C41" s="77" t="s">
        <v>151</v>
      </c>
    </row>
    <row r="42" spans="1:4" ht="42" customHeight="1" x14ac:dyDescent="0.2">
      <c r="A42" s="84" t="s">
        <v>152</v>
      </c>
      <c r="B42" s="60" t="s">
        <v>153</v>
      </c>
      <c r="C42" s="78" t="s">
        <v>154</v>
      </c>
    </row>
    <row r="43" spans="1:4" ht="42" customHeight="1" x14ac:dyDescent="0.2">
      <c r="A43" s="85" t="s">
        <v>155</v>
      </c>
      <c r="B43" s="61" t="s">
        <v>156</v>
      </c>
      <c r="C43" s="80" t="s">
        <v>157</v>
      </c>
    </row>
    <row r="44" spans="1:4" ht="8" customHeight="1" x14ac:dyDescent="0.2">
      <c r="A44" s="68"/>
      <c r="B44" s="68"/>
      <c r="C44" s="68"/>
      <c r="D44" s="68"/>
    </row>
    <row r="45" spans="1:4" ht="26" customHeight="1" x14ac:dyDescent="0.2">
      <c r="A45" s="198" t="s">
        <v>158</v>
      </c>
      <c r="B45" s="199"/>
      <c r="C45" s="199"/>
      <c r="D45" s="199"/>
    </row>
    <row r="46" spans="1:4" ht="8" customHeight="1" x14ac:dyDescent="0.2">
      <c r="A46" s="68"/>
      <c r="B46" s="68"/>
      <c r="C46" s="68"/>
      <c r="D46" s="68"/>
    </row>
    <row r="47" spans="1:4" ht="28" customHeight="1" thickBot="1" x14ac:dyDescent="0.25">
      <c r="A47" s="82" t="s">
        <v>159</v>
      </c>
      <c r="B47" s="67" t="s">
        <v>126</v>
      </c>
      <c r="C47" s="76" t="s">
        <v>160</v>
      </c>
    </row>
    <row r="48" spans="1:4" ht="42" customHeight="1" x14ac:dyDescent="0.2">
      <c r="A48" s="83" t="s">
        <v>161</v>
      </c>
      <c r="B48" s="59" t="s">
        <v>162</v>
      </c>
      <c r="C48" s="77" t="s">
        <v>163</v>
      </c>
    </row>
    <row r="49" spans="1:4" ht="42" customHeight="1" x14ac:dyDescent="0.2">
      <c r="A49" s="84" t="s">
        <v>164</v>
      </c>
      <c r="B49" s="60" t="s">
        <v>165</v>
      </c>
      <c r="C49" s="78" t="s">
        <v>166</v>
      </c>
    </row>
    <row r="50" spans="1:4" ht="42" customHeight="1" x14ac:dyDescent="0.2">
      <c r="A50" s="85" t="s">
        <v>167</v>
      </c>
      <c r="B50" s="61" t="s">
        <v>168</v>
      </c>
      <c r="C50" s="80" t="s">
        <v>169</v>
      </c>
    </row>
    <row r="51" spans="1:4" ht="8" customHeight="1" x14ac:dyDescent="0.2">
      <c r="A51" s="68"/>
      <c r="B51" s="68"/>
      <c r="C51" s="68"/>
      <c r="D51" s="68"/>
    </row>
    <row r="52" spans="1:4" ht="8" customHeight="1" x14ac:dyDescent="0.2">
      <c r="A52" s="68"/>
      <c r="B52" s="68"/>
      <c r="C52" s="68"/>
      <c r="D52" s="68"/>
    </row>
    <row r="53" spans="1:4" ht="32" customHeight="1" x14ac:dyDescent="0.2">
      <c r="A53" s="188" t="s">
        <v>170</v>
      </c>
      <c r="B53" s="189"/>
      <c r="C53" s="189"/>
      <c r="D53" s="189"/>
    </row>
    <row r="54" spans="1:4" ht="8" customHeight="1" thickBot="1" x14ac:dyDescent="0.25">
      <c r="A54" s="71"/>
      <c r="B54" s="71"/>
      <c r="C54" s="71"/>
      <c r="D54" s="71"/>
    </row>
    <row r="55" spans="1:4" ht="26" customHeight="1" x14ac:dyDescent="0.2">
      <c r="A55" s="200" t="s">
        <v>171</v>
      </c>
      <c r="B55" s="201"/>
      <c r="C55" s="201"/>
      <c r="D55" s="202"/>
    </row>
    <row r="56" spans="1:4" ht="80" customHeight="1" x14ac:dyDescent="0.2">
      <c r="A56" s="203" t="s">
        <v>172</v>
      </c>
      <c r="B56" s="204"/>
      <c r="C56" s="204"/>
      <c r="D56" s="205"/>
    </row>
    <row r="57" spans="1:4" ht="8" customHeight="1" x14ac:dyDescent="0.2">
      <c r="A57" s="68"/>
      <c r="B57" s="68"/>
      <c r="C57" s="68"/>
      <c r="D57" s="68"/>
    </row>
    <row r="58" spans="1:4" ht="26" customHeight="1" x14ac:dyDescent="0.2">
      <c r="A58" s="198" t="s">
        <v>173</v>
      </c>
      <c r="B58" s="199"/>
      <c r="C58" s="199"/>
      <c r="D58" s="199"/>
    </row>
    <row r="59" spans="1:4" ht="8" customHeight="1" x14ac:dyDescent="0.2">
      <c r="A59" s="68"/>
      <c r="B59" s="72"/>
      <c r="C59" s="72"/>
      <c r="D59" s="68"/>
    </row>
    <row r="60" spans="1:4" ht="28" customHeight="1" thickBot="1" x14ac:dyDescent="0.25">
      <c r="A60" s="86" t="s">
        <v>174</v>
      </c>
      <c r="B60" s="67" t="s">
        <v>175</v>
      </c>
      <c r="C60" s="67" t="s">
        <v>176</v>
      </c>
      <c r="D60" s="81" t="s">
        <v>177</v>
      </c>
    </row>
    <row r="61" spans="1:4" ht="65" customHeight="1" x14ac:dyDescent="0.2">
      <c r="A61" s="83" t="s">
        <v>178</v>
      </c>
      <c r="B61" s="59" t="s">
        <v>179</v>
      </c>
      <c r="C61" s="59" t="s">
        <v>180</v>
      </c>
      <c r="D61" s="77" t="s">
        <v>181</v>
      </c>
    </row>
    <row r="62" spans="1:4" ht="65" customHeight="1" x14ac:dyDescent="0.2">
      <c r="A62" s="84" t="s">
        <v>182</v>
      </c>
      <c r="B62" s="60" t="s">
        <v>183</v>
      </c>
      <c r="C62" s="60" t="s">
        <v>184</v>
      </c>
      <c r="D62" s="78" t="s">
        <v>185</v>
      </c>
    </row>
    <row r="63" spans="1:4" ht="65" customHeight="1" x14ac:dyDescent="0.2">
      <c r="A63" s="87" t="s">
        <v>186</v>
      </c>
      <c r="B63" s="62" t="s">
        <v>187</v>
      </c>
      <c r="C63" s="62" t="s">
        <v>188</v>
      </c>
      <c r="D63" s="79" t="s">
        <v>189</v>
      </c>
    </row>
    <row r="64" spans="1:4" ht="65" customHeight="1" x14ac:dyDescent="0.2">
      <c r="A64" s="84" t="s">
        <v>190</v>
      </c>
      <c r="B64" s="60" t="s">
        <v>191</v>
      </c>
      <c r="C64" s="60" t="s">
        <v>192</v>
      </c>
      <c r="D64" s="78" t="s">
        <v>193</v>
      </c>
    </row>
    <row r="65" spans="1:4" ht="65" customHeight="1" x14ac:dyDescent="0.2">
      <c r="A65" s="87" t="s">
        <v>194</v>
      </c>
      <c r="B65" s="62" t="s">
        <v>195</v>
      </c>
      <c r="C65" s="62" t="s">
        <v>196</v>
      </c>
      <c r="D65" s="79" t="s">
        <v>197</v>
      </c>
    </row>
    <row r="66" spans="1:4" ht="8" customHeight="1" x14ac:dyDescent="0.2">
      <c r="A66" s="68"/>
      <c r="B66" s="68"/>
      <c r="C66" s="68"/>
      <c r="D66" s="68"/>
    </row>
    <row r="67" spans="1:4" ht="26" customHeight="1" x14ac:dyDescent="0.2">
      <c r="A67" s="199" t="s">
        <v>198</v>
      </c>
      <c r="B67" s="199"/>
      <c r="C67" s="199"/>
      <c r="D67" s="199"/>
    </row>
    <row r="68" spans="1:4" ht="8" customHeight="1" x14ac:dyDescent="0.2">
      <c r="A68" s="73"/>
      <c r="B68" s="73"/>
      <c r="C68" s="73"/>
      <c r="D68" s="73"/>
    </row>
    <row r="69" spans="1:4" ht="36" customHeight="1" x14ac:dyDescent="0.2">
      <c r="A69" s="282" t="s">
        <v>199</v>
      </c>
      <c r="B69" s="206"/>
      <c r="C69" s="206"/>
      <c r="D69" s="207"/>
    </row>
    <row r="70" spans="1:4" ht="8" customHeight="1" x14ac:dyDescent="0.2">
      <c r="A70" s="68"/>
      <c r="B70" s="68"/>
      <c r="C70" s="68"/>
      <c r="D70" s="68"/>
    </row>
    <row r="71" spans="1:4" ht="22" customHeight="1" x14ac:dyDescent="0.2">
      <c r="A71" s="208" t="s">
        <v>200</v>
      </c>
      <c r="B71" s="209"/>
      <c r="C71" s="209"/>
      <c r="D71" s="209"/>
    </row>
    <row r="72" spans="1:4" ht="8" customHeight="1" x14ac:dyDescent="0.2">
      <c r="A72" s="68"/>
      <c r="B72" s="68"/>
      <c r="C72" s="68"/>
      <c r="D72" s="68"/>
    </row>
    <row r="73" spans="1:4" ht="22" customHeight="1" x14ac:dyDescent="0.2">
      <c r="A73" s="260" t="s">
        <v>201</v>
      </c>
      <c r="B73" s="260"/>
      <c r="C73" s="260"/>
      <c r="D73" s="260"/>
    </row>
    <row r="74" spans="1:4" ht="22" customHeight="1" x14ac:dyDescent="0.2">
      <c r="A74" s="261" t="s">
        <v>202</v>
      </c>
      <c r="B74" s="261"/>
      <c r="C74" s="261"/>
      <c r="D74" s="261"/>
    </row>
    <row r="75" spans="1:4" ht="22" customHeight="1" x14ac:dyDescent="0.2">
      <c r="A75" s="260" t="s">
        <v>203</v>
      </c>
      <c r="B75" s="260"/>
      <c r="C75" s="260"/>
      <c r="D75" s="260"/>
    </row>
    <row r="76" spans="1:4" ht="8" customHeight="1" thickBot="1" x14ac:dyDescent="0.25">
      <c r="A76" s="262"/>
      <c r="B76" s="262"/>
      <c r="C76" s="262"/>
      <c r="D76" s="262"/>
    </row>
    <row r="77" spans="1:4" ht="26" customHeight="1" x14ac:dyDescent="0.2">
      <c r="A77" s="279" t="s">
        <v>204</v>
      </c>
      <c r="B77" s="263"/>
      <c r="C77" s="263"/>
      <c r="D77" s="264"/>
    </row>
    <row r="78" spans="1:4" ht="80" customHeight="1" x14ac:dyDescent="0.2">
      <c r="A78" s="280" t="s">
        <v>365</v>
      </c>
      <c r="B78" s="265"/>
      <c r="C78" s="265"/>
      <c r="D78" s="266"/>
    </row>
    <row r="79" spans="1:4" ht="8" customHeight="1" x14ac:dyDescent="0.2">
      <c r="A79" s="267"/>
      <c r="B79" s="267"/>
      <c r="C79" s="267"/>
      <c r="D79" s="267"/>
    </row>
    <row r="80" spans="1:4" ht="32" customHeight="1" x14ac:dyDescent="0.2">
      <c r="A80" s="268" t="s">
        <v>205</v>
      </c>
      <c r="B80" s="268"/>
      <c r="C80" s="268"/>
      <c r="D80" s="268"/>
    </row>
    <row r="81" spans="1:4" ht="8" customHeight="1" x14ac:dyDescent="0.2">
      <c r="A81" s="269"/>
      <c r="B81" s="269"/>
      <c r="C81" s="269"/>
      <c r="D81" s="269"/>
    </row>
    <row r="82" spans="1:4" ht="60" customHeight="1" x14ac:dyDescent="0.2">
      <c r="A82" s="281" t="s">
        <v>206</v>
      </c>
      <c r="B82" s="270"/>
      <c r="C82" s="270"/>
      <c r="D82" s="271"/>
    </row>
    <row r="83" spans="1:4" ht="8" customHeight="1" x14ac:dyDescent="0.2">
      <c r="A83" s="267"/>
      <c r="B83" s="267"/>
      <c r="C83" s="267"/>
      <c r="D83" s="267"/>
    </row>
    <row r="84" spans="1:4" ht="22" customHeight="1" x14ac:dyDescent="0.2">
      <c r="A84" s="272" t="s">
        <v>207</v>
      </c>
      <c r="B84" s="272"/>
      <c r="C84" s="272"/>
      <c r="D84" s="272"/>
    </row>
    <row r="85" spans="1:4" ht="8" customHeight="1" x14ac:dyDescent="0.2">
      <c r="A85" s="267"/>
      <c r="B85" s="267"/>
      <c r="C85" s="267"/>
      <c r="D85" s="267"/>
    </row>
    <row r="86" spans="1:4" ht="36" customHeight="1" x14ac:dyDescent="0.2">
      <c r="A86" s="273" t="s">
        <v>208</v>
      </c>
      <c r="B86" s="273"/>
      <c r="C86" s="273"/>
      <c r="D86" s="273"/>
    </row>
    <row r="87" spans="1:4" ht="36" customHeight="1" x14ac:dyDescent="0.2">
      <c r="A87" s="274" t="s">
        <v>209</v>
      </c>
      <c r="B87" s="274"/>
      <c r="C87" s="274"/>
      <c r="D87" s="274"/>
    </row>
    <row r="88" spans="1:4" ht="36" customHeight="1" x14ac:dyDescent="0.2">
      <c r="A88" s="273" t="s">
        <v>210</v>
      </c>
      <c r="B88" s="273"/>
      <c r="C88" s="273"/>
      <c r="D88" s="273"/>
    </row>
    <row r="89" spans="1:4" ht="8" customHeight="1" x14ac:dyDescent="0.2">
      <c r="A89" s="267"/>
      <c r="B89" s="267"/>
      <c r="C89" s="267"/>
      <c r="D89" s="267"/>
    </row>
    <row r="90" spans="1:4" ht="20" customHeight="1" thickBot="1" x14ac:dyDescent="0.25">
      <c r="A90" s="275" t="s">
        <v>211</v>
      </c>
      <c r="B90" s="275"/>
      <c r="C90" s="275"/>
      <c r="D90" s="275"/>
    </row>
    <row r="91" spans="1:4" ht="20" customHeight="1" x14ac:dyDescent="0.2">
      <c r="A91" s="276" t="s">
        <v>449</v>
      </c>
      <c r="B91" s="276"/>
      <c r="C91" s="276"/>
      <c r="D91" s="276"/>
    </row>
    <row r="92" spans="1:4" ht="20" customHeight="1" x14ac:dyDescent="0.2">
      <c r="A92" s="277" t="s">
        <v>376</v>
      </c>
      <c r="B92" s="277"/>
      <c r="C92" s="277"/>
      <c r="D92" s="277"/>
    </row>
    <row r="93" spans="1:4" ht="20" customHeight="1" x14ac:dyDescent="0.2">
      <c r="A93" s="278" t="s">
        <v>377</v>
      </c>
      <c r="B93" s="278"/>
      <c r="C93" s="278"/>
      <c r="D93" s="278"/>
    </row>
  </sheetData>
  <mergeCells count="33">
    <mergeCell ref="A91:D91"/>
    <mergeCell ref="A92:D92"/>
    <mergeCell ref="A93:D93"/>
    <mergeCell ref="A82:D82"/>
    <mergeCell ref="A84:D84"/>
    <mergeCell ref="A86:D86"/>
    <mergeCell ref="A87:D87"/>
    <mergeCell ref="A88:D88"/>
    <mergeCell ref="A90:D90"/>
    <mergeCell ref="A80:D80"/>
    <mergeCell ref="A55:D55"/>
    <mergeCell ref="A56:D56"/>
    <mergeCell ref="A58:D58"/>
    <mergeCell ref="A67:D67"/>
    <mergeCell ref="A69:D69"/>
    <mergeCell ref="A71:D71"/>
    <mergeCell ref="A73:D73"/>
    <mergeCell ref="A74:D74"/>
    <mergeCell ref="A75:D75"/>
    <mergeCell ref="A77:D77"/>
    <mergeCell ref="A78:D78"/>
    <mergeCell ref="A53:D53"/>
    <mergeCell ref="A1:D1"/>
    <mergeCell ref="A3:D3"/>
    <mergeCell ref="A5:D5"/>
    <mergeCell ref="A7:D7"/>
    <mergeCell ref="A9:D9"/>
    <mergeCell ref="A11:D11"/>
    <mergeCell ref="A22:D22"/>
    <mergeCell ref="A24:D24"/>
    <mergeCell ref="A31:D31"/>
    <mergeCell ref="A38:D38"/>
    <mergeCell ref="A45:D45"/>
  </mergeCells>
  <hyperlinks>
    <hyperlink ref="A7" r:id="rId1" xr:uid="{AE7DFB3D-A219-D34C-8AF5-0187FD13EE97}"/>
    <hyperlink ref="A90" r:id="rId2" location="burden-of-proof-and-accountability-framework" xr:uid="{A99B1CD3-9883-304B-AACC-9CB44E0D3BDC}"/>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CB073-D11E-E345-B397-1457A195EB3C}">
  <dimension ref="A1:E139"/>
  <sheetViews>
    <sheetView workbookViewId="0">
      <pane ySplit="1" topLeftCell="A2" activePane="bottomLeft" state="frozen"/>
      <selection pane="bottomLeft" activeCell="A136" sqref="A136:E136"/>
    </sheetView>
  </sheetViews>
  <sheetFormatPr baseColWidth="10" defaultRowHeight="16" x14ac:dyDescent="0.2"/>
  <cols>
    <col min="1" max="1" width="58.33203125" style="1" customWidth="1"/>
    <col min="2" max="2" width="52" style="4" customWidth="1"/>
    <col min="3" max="3" width="46.6640625" style="1" customWidth="1"/>
    <col min="4" max="4" width="41.6640625" style="1" customWidth="1"/>
    <col min="5" max="5" width="50" style="1" customWidth="1"/>
    <col min="6" max="16384" width="10.83203125" style="1"/>
  </cols>
  <sheetData>
    <row r="1" spans="1:5" ht="45" customHeight="1" x14ac:dyDescent="0.2">
      <c r="A1" s="190" t="s">
        <v>366</v>
      </c>
      <c r="B1" s="191"/>
      <c r="C1" s="191"/>
      <c r="D1" s="191"/>
      <c r="E1" s="191"/>
    </row>
    <row r="2" spans="1:5" ht="8" customHeight="1" x14ac:dyDescent="0.2">
      <c r="A2" s="68"/>
      <c r="B2" s="91"/>
      <c r="C2" s="68"/>
      <c r="D2" s="68"/>
      <c r="E2" s="68"/>
    </row>
    <row r="3" spans="1:5" ht="32" customHeight="1" thickBot="1" x14ac:dyDescent="0.25">
      <c r="A3" s="188" t="s">
        <v>213</v>
      </c>
      <c r="B3" s="189"/>
      <c r="C3" s="189"/>
      <c r="D3" s="189"/>
      <c r="E3" s="189"/>
    </row>
    <row r="4" spans="1:5" ht="8" customHeight="1" x14ac:dyDescent="0.2">
      <c r="A4" s="69"/>
      <c r="B4" s="92"/>
      <c r="C4" s="69"/>
      <c r="D4" s="69"/>
      <c r="E4" s="69"/>
    </row>
    <row r="5" spans="1:5" ht="36" customHeight="1" x14ac:dyDescent="0.2">
      <c r="A5" s="214" t="s">
        <v>419</v>
      </c>
      <c r="B5" s="215"/>
      <c r="C5" s="215"/>
      <c r="D5" s="215"/>
      <c r="E5" s="215"/>
    </row>
    <row r="6" spans="1:5" ht="8" customHeight="1" x14ac:dyDescent="0.2">
      <c r="A6" s="68"/>
      <c r="B6" s="91"/>
      <c r="C6" s="68"/>
      <c r="D6" s="68"/>
      <c r="E6" s="68"/>
    </row>
    <row r="7" spans="1:5" ht="8" customHeight="1" x14ac:dyDescent="0.2">
      <c r="A7" s="68"/>
      <c r="B7" s="91"/>
      <c r="C7" s="68"/>
      <c r="D7" s="68"/>
      <c r="E7" s="68"/>
    </row>
    <row r="8" spans="1:5" ht="8" customHeight="1" x14ac:dyDescent="0.2">
      <c r="A8" s="68"/>
      <c r="B8" s="91"/>
      <c r="C8" s="68"/>
      <c r="D8" s="68"/>
      <c r="E8" s="68"/>
    </row>
    <row r="9" spans="1:5" ht="32" customHeight="1" thickBot="1" x14ac:dyDescent="0.25">
      <c r="A9" s="188" t="s">
        <v>214</v>
      </c>
      <c r="B9" s="189"/>
      <c r="C9" s="189"/>
      <c r="D9" s="189"/>
      <c r="E9" s="189"/>
    </row>
    <row r="10" spans="1:5" ht="8" customHeight="1" x14ac:dyDescent="0.2">
      <c r="A10" s="69"/>
      <c r="B10" s="92"/>
      <c r="C10" s="69"/>
      <c r="D10" s="69"/>
      <c r="E10" s="69"/>
    </row>
    <row r="11" spans="1:5" ht="17" thickBot="1" x14ac:dyDescent="0.25">
      <c r="A11" s="93" t="s">
        <v>215</v>
      </c>
      <c r="B11" s="94" t="s">
        <v>216</v>
      </c>
      <c r="C11" s="9" t="s">
        <v>217</v>
      </c>
      <c r="D11" s="9" t="s">
        <v>218</v>
      </c>
      <c r="E11" s="95" t="s">
        <v>219</v>
      </c>
    </row>
    <row r="12" spans="1:5" ht="80" x14ac:dyDescent="0.2">
      <c r="A12" s="20" t="s">
        <v>340</v>
      </c>
      <c r="B12" s="21" t="s">
        <v>220</v>
      </c>
      <c r="C12" s="22" t="s">
        <v>221</v>
      </c>
      <c r="D12" s="22" t="s">
        <v>222</v>
      </c>
      <c r="E12" s="23" t="s">
        <v>367</v>
      </c>
    </row>
    <row r="13" spans="1:5" ht="96" x14ac:dyDescent="0.2">
      <c r="A13" s="24" t="s">
        <v>374</v>
      </c>
      <c r="B13" s="25" t="s">
        <v>224</v>
      </c>
      <c r="C13" s="26" t="s">
        <v>225</v>
      </c>
      <c r="D13" s="26" t="s">
        <v>226</v>
      </c>
      <c r="E13" s="27" t="s">
        <v>368</v>
      </c>
    </row>
    <row r="14" spans="1:5" ht="97" thickBot="1" x14ac:dyDescent="0.25">
      <c r="A14" s="96" t="s">
        <v>351</v>
      </c>
      <c r="B14" s="97" t="s">
        <v>227</v>
      </c>
      <c r="C14" s="98" t="s">
        <v>228</v>
      </c>
      <c r="D14" s="98" t="s">
        <v>229</v>
      </c>
      <c r="E14" s="99" t="s">
        <v>369</v>
      </c>
    </row>
    <row r="15" spans="1:5" ht="8" customHeight="1" x14ac:dyDescent="0.2">
      <c r="A15" s="69"/>
      <c r="B15" s="92"/>
      <c r="C15" s="69"/>
      <c r="D15" s="69"/>
      <c r="E15" s="69"/>
    </row>
    <row r="16" spans="1:5" ht="32" customHeight="1" thickBot="1" x14ac:dyDescent="0.25">
      <c r="A16" s="188" t="s">
        <v>230</v>
      </c>
      <c r="B16" s="189"/>
      <c r="C16" s="189"/>
      <c r="D16" s="189"/>
      <c r="E16" s="189"/>
    </row>
    <row r="17" spans="1:5" ht="8" customHeight="1" x14ac:dyDescent="0.2">
      <c r="A17" s="69"/>
      <c r="B17" s="92"/>
      <c r="C17" s="69"/>
      <c r="D17" s="69"/>
      <c r="E17" s="69"/>
    </row>
    <row r="18" spans="1:5" x14ac:dyDescent="0.2">
      <c r="A18" s="9" t="s">
        <v>231</v>
      </c>
      <c r="B18" s="16" t="s">
        <v>232</v>
      </c>
      <c r="C18" s="9" t="s">
        <v>233</v>
      </c>
      <c r="D18" s="9"/>
      <c r="E18" s="9"/>
    </row>
    <row r="19" spans="1:5" ht="64" x14ac:dyDescent="0.2">
      <c r="A19" s="15" t="s">
        <v>234</v>
      </c>
      <c r="B19" s="11" t="s">
        <v>235</v>
      </c>
      <c r="C19" s="13" t="s">
        <v>236</v>
      </c>
      <c r="D19" s="68"/>
      <c r="E19" s="68"/>
    </row>
    <row r="20" spans="1:5" ht="85" x14ac:dyDescent="0.2">
      <c r="A20" s="14" t="s">
        <v>237</v>
      </c>
      <c r="B20" s="10" t="s">
        <v>238</v>
      </c>
      <c r="C20" s="14" t="s">
        <v>370</v>
      </c>
      <c r="D20" s="68"/>
      <c r="E20" s="68"/>
    </row>
    <row r="21" spans="1:5" ht="68" x14ac:dyDescent="0.2">
      <c r="A21" s="15" t="s">
        <v>239</v>
      </c>
      <c r="B21" s="11" t="s">
        <v>240</v>
      </c>
      <c r="C21" s="15" t="s">
        <v>241</v>
      </c>
      <c r="D21" s="68"/>
      <c r="E21" s="68"/>
    </row>
    <row r="22" spans="1:5" ht="48" x14ac:dyDescent="0.2">
      <c r="A22" s="14" t="s">
        <v>242</v>
      </c>
      <c r="B22" s="10" t="s">
        <v>243</v>
      </c>
      <c r="C22" s="12" t="s">
        <v>244</v>
      </c>
      <c r="D22" s="68"/>
      <c r="E22" s="68"/>
    </row>
    <row r="23" spans="1:5" ht="8" customHeight="1" x14ac:dyDescent="0.2">
      <c r="A23" s="68"/>
      <c r="B23" s="91"/>
      <c r="C23" s="68"/>
      <c r="D23" s="68"/>
      <c r="E23" s="68"/>
    </row>
    <row r="24" spans="1:5" ht="8" customHeight="1" x14ac:dyDescent="0.2">
      <c r="A24" s="68"/>
      <c r="B24" s="91"/>
      <c r="C24" s="68"/>
      <c r="D24" s="68"/>
      <c r="E24" s="68"/>
    </row>
    <row r="25" spans="1:5" ht="32" customHeight="1" thickBot="1" x14ac:dyDescent="0.25">
      <c r="A25" s="188" t="s">
        <v>245</v>
      </c>
      <c r="B25" s="189"/>
      <c r="C25" s="189"/>
      <c r="D25" s="189"/>
      <c r="E25" s="189"/>
    </row>
    <row r="26" spans="1:5" ht="8" customHeight="1" x14ac:dyDescent="0.2">
      <c r="A26" s="69"/>
      <c r="B26" s="92"/>
      <c r="C26" s="69"/>
      <c r="D26" s="69"/>
      <c r="E26" s="69"/>
    </row>
    <row r="27" spans="1:5" ht="26" customHeight="1" x14ac:dyDescent="0.2">
      <c r="A27" s="219" t="s">
        <v>246</v>
      </c>
      <c r="B27" s="220"/>
      <c r="C27" s="220"/>
      <c r="D27" s="220"/>
      <c r="E27" s="220"/>
    </row>
    <row r="28" spans="1:5" ht="8" customHeight="1" x14ac:dyDescent="0.2">
      <c r="A28" s="70"/>
      <c r="B28" s="100"/>
      <c r="C28" s="70"/>
      <c r="D28" s="70"/>
      <c r="E28" s="70"/>
    </row>
    <row r="29" spans="1:5" ht="20" customHeight="1" x14ac:dyDescent="0.2">
      <c r="A29" s="216" t="s">
        <v>247</v>
      </c>
      <c r="B29" s="217"/>
      <c r="C29" s="217"/>
      <c r="D29" s="217"/>
      <c r="E29" s="218"/>
    </row>
    <row r="30" spans="1:5" ht="20" customHeight="1" x14ac:dyDescent="0.2">
      <c r="A30" s="216" t="s">
        <v>248</v>
      </c>
      <c r="B30" s="217"/>
      <c r="C30" s="217"/>
      <c r="D30" s="217"/>
      <c r="E30" s="218"/>
    </row>
    <row r="31" spans="1:5" ht="20" customHeight="1" x14ac:dyDescent="0.2">
      <c r="A31" s="221" t="s">
        <v>249</v>
      </c>
      <c r="B31" s="222"/>
      <c r="C31" s="222"/>
      <c r="D31" s="222"/>
      <c r="E31" s="223"/>
    </row>
    <row r="32" spans="1:5" ht="20" customHeight="1" x14ac:dyDescent="0.2">
      <c r="A32" s="224" t="s">
        <v>250</v>
      </c>
      <c r="B32" s="225"/>
      <c r="C32" s="225"/>
      <c r="D32" s="225"/>
      <c r="E32" s="226"/>
    </row>
    <row r="33" spans="1:5" ht="20" customHeight="1" x14ac:dyDescent="0.2">
      <c r="A33" s="216" t="s">
        <v>251</v>
      </c>
      <c r="B33" s="217"/>
      <c r="C33" s="217"/>
      <c r="D33" s="217"/>
      <c r="E33" s="218"/>
    </row>
    <row r="34" spans="1:5" ht="20" customHeight="1" x14ac:dyDescent="0.2">
      <c r="A34" s="216" t="s">
        <v>252</v>
      </c>
      <c r="B34" s="217"/>
      <c r="C34" s="217"/>
      <c r="D34" s="217"/>
      <c r="E34" s="218"/>
    </row>
    <row r="35" spans="1:5" ht="20" customHeight="1" x14ac:dyDescent="0.2">
      <c r="A35" s="216" t="s">
        <v>253</v>
      </c>
      <c r="B35" s="217"/>
      <c r="C35" s="217"/>
      <c r="D35" s="217"/>
      <c r="E35" s="218"/>
    </row>
    <row r="36" spans="1:5" ht="20" customHeight="1" x14ac:dyDescent="0.2">
      <c r="A36" s="221" t="s">
        <v>254</v>
      </c>
      <c r="B36" s="222"/>
      <c r="C36" s="222"/>
      <c r="D36" s="222"/>
      <c r="E36" s="223"/>
    </row>
    <row r="37" spans="1:5" ht="20" customHeight="1" x14ac:dyDescent="0.2">
      <c r="A37" s="224" t="s">
        <v>255</v>
      </c>
      <c r="B37" s="225"/>
      <c r="C37" s="225"/>
      <c r="D37" s="225"/>
      <c r="E37" s="226"/>
    </row>
    <row r="38" spans="1:5" ht="20" customHeight="1" x14ac:dyDescent="0.2">
      <c r="A38" s="227" t="s">
        <v>256</v>
      </c>
      <c r="B38" s="228"/>
      <c r="C38" s="228"/>
      <c r="D38" s="228"/>
      <c r="E38" s="229"/>
    </row>
    <row r="39" spans="1:5" ht="20" customHeight="1" x14ac:dyDescent="0.2">
      <c r="A39" s="216" t="s">
        <v>257</v>
      </c>
      <c r="B39" s="217"/>
      <c r="C39" s="217"/>
      <c r="D39" s="217"/>
      <c r="E39" s="218"/>
    </row>
    <row r="40" spans="1:5" ht="20" customHeight="1" x14ac:dyDescent="0.2">
      <c r="A40" s="216" t="s">
        <v>258</v>
      </c>
      <c r="B40" s="217"/>
      <c r="C40" s="217"/>
      <c r="D40" s="217"/>
      <c r="E40" s="218"/>
    </row>
    <row r="41" spans="1:5" ht="20" customHeight="1" x14ac:dyDescent="0.2">
      <c r="A41" s="224" t="s">
        <v>259</v>
      </c>
      <c r="B41" s="225"/>
      <c r="C41" s="225"/>
      <c r="D41" s="225"/>
      <c r="E41" s="226"/>
    </row>
    <row r="42" spans="1:5" ht="20" customHeight="1" x14ac:dyDescent="0.2">
      <c r="A42" s="224" t="s">
        <v>260</v>
      </c>
      <c r="B42" s="225"/>
      <c r="C42" s="225"/>
      <c r="D42" s="225"/>
      <c r="E42" s="226"/>
    </row>
    <row r="43" spans="1:5" ht="20" customHeight="1" x14ac:dyDescent="0.2">
      <c r="A43" s="227" t="s">
        <v>261</v>
      </c>
      <c r="B43" s="228"/>
      <c r="C43" s="228"/>
      <c r="D43" s="228"/>
      <c r="E43" s="229"/>
    </row>
    <row r="44" spans="1:5" ht="8" customHeight="1" x14ac:dyDescent="0.2">
      <c r="A44" s="70"/>
      <c r="B44" s="100"/>
      <c r="C44" s="70"/>
      <c r="D44" s="70"/>
      <c r="E44" s="70"/>
    </row>
    <row r="45" spans="1:5" ht="32" customHeight="1" thickBot="1" x14ac:dyDescent="0.25">
      <c r="A45" s="230" t="s">
        <v>262</v>
      </c>
      <c r="B45" s="231"/>
      <c r="C45" s="231"/>
      <c r="D45" s="231"/>
      <c r="E45" s="231"/>
    </row>
    <row r="46" spans="1:5" ht="22" customHeight="1" x14ac:dyDescent="0.2">
      <c r="A46" s="232" t="s">
        <v>263</v>
      </c>
      <c r="B46" s="232"/>
      <c r="C46" s="232"/>
      <c r="D46" s="232"/>
      <c r="E46" s="232"/>
    </row>
    <row r="47" spans="1:5" ht="8" customHeight="1" thickBot="1" x14ac:dyDescent="0.25">
      <c r="A47" s="68"/>
      <c r="B47" s="91"/>
      <c r="C47" s="68"/>
      <c r="D47" s="68"/>
      <c r="E47" s="68"/>
    </row>
    <row r="48" spans="1:5" ht="17" thickBot="1" x14ac:dyDescent="0.25">
      <c r="A48" s="18" t="s">
        <v>264</v>
      </c>
      <c r="B48" s="28" t="s">
        <v>265</v>
      </c>
      <c r="C48" s="17" t="s">
        <v>266</v>
      </c>
      <c r="D48" s="19" t="s">
        <v>267</v>
      </c>
      <c r="E48" s="19"/>
    </row>
    <row r="49" spans="1:5" ht="32" x14ac:dyDescent="0.2">
      <c r="A49" s="15" t="s">
        <v>268</v>
      </c>
      <c r="B49" s="11" t="s">
        <v>269</v>
      </c>
      <c r="C49" s="13" t="s">
        <v>270</v>
      </c>
      <c r="D49" s="13" t="s">
        <v>271</v>
      </c>
    </row>
    <row r="50" spans="1:5" ht="17" x14ac:dyDescent="0.2">
      <c r="A50" s="14" t="s">
        <v>272</v>
      </c>
      <c r="B50" s="10" t="s">
        <v>273</v>
      </c>
      <c r="C50" s="12" t="s">
        <v>274</v>
      </c>
      <c r="D50" s="12" t="s">
        <v>275</v>
      </c>
    </row>
    <row r="51" spans="1:5" ht="32" x14ac:dyDescent="0.2">
      <c r="A51" s="55" t="s">
        <v>276</v>
      </c>
      <c r="B51" s="11" t="s">
        <v>277</v>
      </c>
      <c r="C51" s="13" t="s">
        <v>278</v>
      </c>
      <c r="D51" s="13" t="s">
        <v>279</v>
      </c>
    </row>
    <row r="52" spans="1:5" ht="32" x14ac:dyDescent="0.2">
      <c r="A52" s="14" t="s">
        <v>439</v>
      </c>
      <c r="B52" s="10" t="s">
        <v>280</v>
      </c>
      <c r="C52" s="12" t="s">
        <v>281</v>
      </c>
      <c r="D52" s="12" t="s">
        <v>282</v>
      </c>
    </row>
    <row r="53" spans="1:5" ht="33" x14ac:dyDescent="0.2">
      <c r="A53" s="15" t="s">
        <v>443</v>
      </c>
      <c r="B53" s="11" t="s">
        <v>283</v>
      </c>
      <c r="C53" s="13" t="s">
        <v>284</v>
      </c>
      <c r="D53" s="13" t="s">
        <v>285</v>
      </c>
    </row>
    <row r="54" spans="1:5" ht="8" customHeight="1" x14ac:dyDescent="0.2">
      <c r="A54" s="68"/>
      <c r="B54" s="91"/>
      <c r="C54" s="68"/>
      <c r="D54" s="68"/>
      <c r="E54" s="68"/>
    </row>
    <row r="55" spans="1:5" ht="32" customHeight="1" thickBot="1" x14ac:dyDescent="0.25">
      <c r="A55" s="188" t="s">
        <v>286</v>
      </c>
      <c r="B55" s="189"/>
      <c r="C55" s="189"/>
      <c r="D55" s="189"/>
      <c r="E55" s="189"/>
    </row>
    <row r="56" spans="1:5" ht="8" customHeight="1" x14ac:dyDescent="0.2">
      <c r="A56" s="69"/>
      <c r="B56" s="92"/>
      <c r="C56" s="69"/>
      <c r="D56" s="69"/>
      <c r="E56" s="69"/>
    </row>
    <row r="57" spans="1:5" ht="26" customHeight="1" x14ac:dyDescent="0.2">
      <c r="A57" s="233" t="s">
        <v>287</v>
      </c>
      <c r="B57" s="234"/>
      <c r="C57" s="234"/>
      <c r="D57" s="234"/>
      <c r="E57" s="235"/>
    </row>
    <row r="58" spans="1:5" ht="8" customHeight="1" x14ac:dyDescent="0.2">
      <c r="A58" s="75"/>
      <c r="B58" s="101"/>
      <c r="C58" s="75"/>
      <c r="D58" s="75"/>
      <c r="E58" s="75"/>
    </row>
    <row r="59" spans="1:5" ht="24" customHeight="1" x14ac:dyDescent="0.2">
      <c r="A59" s="219" t="s">
        <v>288</v>
      </c>
      <c r="B59" s="220"/>
      <c r="C59" s="220"/>
      <c r="D59" s="220"/>
      <c r="E59" s="220"/>
    </row>
    <row r="60" spans="1:5" ht="8" customHeight="1" x14ac:dyDescent="0.2">
      <c r="A60" s="70"/>
      <c r="B60" s="100"/>
      <c r="C60" s="70"/>
      <c r="D60" s="70"/>
      <c r="E60" s="70"/>
    </row>
    <row r="61" spans="1:5" ht="30" customHeight="1" x14ac:dyDescent="0.2">
      <c r="A61" s="210" t="s">
        <v>289</v>
      </c>
      <c r="B61" s="210"/>
      <c r="C61" s="210"/>
      <c r="D61" s="210"/>
      <c r="E61" s="210"/>
    </row>
    <row r="62" spans="1:5" ht="30" customHeight="1" x14ac:dyDescent="0.2">
      <c r="A62" s="211" t="s">
        <v>290</v>
      </c>
      <c r="B62" s="211"/>
      <c r="C62" s="211"/>
      <c r="D62" s="211"/>
      <c r="E62" s="211"/>
    </row>
    <row r="63" spans="1:5" ht="30" customHeight="1" x14ac:dyDescent="0.2">
      <c r="A63" s="210" t="s">
        <v>291</v>
      </c>
      <c r="B63" s="210"/>
      <c r="C63" s="210"/>
      <c r="D63" s="210"/>
      <c r="E63" s="210"/>
    </row>
    <row r="64" spans="1:5" ht="8" customHeight="1" x14ac:dyDescent="0.2">
      <c r="A64" s="102"/>
      <c r="B64" s="102"/>
      <c r="C64" s="68"/>
      <c r="D64" s="68"/>
      <c r="E64" s="68"/>
    </row>
    <row r="65" spans="1:5" ht="26" customHeight="1" x14ac:dyDescent="0.2">
      <c r="A65" s="237" t="s">
        <v>292</v>
      </c>
      <c r="B65" s="237"/>
      <c r="C65" s="237"/>
      <c r="D65" s="237"/>
      <c r="E65" s="237"/>
    </row>
    <row r="66" spans="1:5" ht="8" customHeight="1" x14ac:dyDescent="0.2">
      <c r="A66" s="102"/>
      <c r="B66" s="102"/>
      <c r="C66" s="68"/>
      <c r="D66" s="68"/>
      <c r="E66" s="68"/>
    </row>
    <row r="67" spans="1:5" ht="24" customHeight="1" x14ac:dyDescent="0.2">
      <c r="A67" s="212" t="s">
        <v>293</v>
      </c>
      <c r="B67" s="212"/>
      <c r="C67" s="212"/>
      <c r="D67" s="212"/>
      <c r="E67" s="212"/>
    </row>
    <row r="68" spans="1:5" ht="24" customHeight="1" x14ac:dyDescent="0.2">
      <c r="A68" s="213" t="s">
        <v>294</v>
      </c>
      <c r="B68" s="213"/>
      <c r="C68" s="213"/>
      <c r="D68" s="213"/>
      <c r="E68" s="213"/>
    </row>
    <row r="69" spans="1:5" ht="24" customHeight="1" x14ac:dyDescent="0.2">
      <c r="A69" s="212" t="s">
        <v>295</v>
      </c>
      <c r="B69" s="212"/>
      <c r="C69" s="212"/>
      <c r="D69" s="212"/>
      <c r="E69" s="212"/>
    </row>
    <row r="70" spans="1:5" ht="8" customHeight="1" x14ac:dyDescent="0.2">
      <c r="A70" s="102"/>
      <c r="B70" s="103"/>
      <c r="C70" s="68"/>
      <c r="D70" s="68"/>
      <c r="E70" s="68"/>
    </row>
    <row r="71" spans="1:5" ht="32" customHeight="1" thickBot="1" x14ac:dyDescent="0.25">
      <c r="A71" s="238" t="s">
        <v>296</v>
      </c>
      <c r="B71" s="239"/>
      <c r="C71" s="239"/>
      <c r="D71" s="239"/>
      <c r="E71" s="239"/>
    </row>
    <row r="72" spans="1:5" ht="8" customHeight="1" x14ac:dyDescent="0.2">
      <c r="A72" s="104"/>
      <c r="B72" s="105"/>
      <c r="C72" s="69"/>
      <c r="D72" s="69"/>
      <c r="E72" s="69"/>
    </row>
    <row r="73" spans="1:5" ht="30" customHeight="1" thickBot="1" x14ac:dyDescent="0.25">
      <c r="A73" s="240" t="s">
        <v>297</v>
      </c>
      <c r="B73" s="241"/>
      <c r="C73" s="241"/>
      <c r="D73" s="241"/>
      <c r="E73" s="241"/>
    </row>
    <row r="74" spans="1:5" ht="8" customHeight="1" x14ac:dyDescent="0.2">
      <c r="A74" s="106"/>
      <c r="B74" s="107"/>
      <c r="C74" s="108"/>
      <c r="D74" s="108"/>
      <c r="E74" s="108"/>
    </row>
    <row r="75" spans="1:5" ht="22" customHeight="1" x14ac:dyDescent="0.2">
      <c r="A75" s="242" t="s">
        <v>298</v>
      </c>
      <c r="B75" s="242"/>
      <c r="C75" s="242"/>
      <c r="D75" s="242"/>
      <c r="E75" s="242"/>
    </row>
    <row r="76" spans="1:5" ht="8" customHeight="1" x14ac:dyDescent="0.2">
      <c r="A76" s="102"/>
      <c r="B76" s="103"/>
      <c r="C76" s="68"/>
      <c r="D76" s="68"/>
      <c r="E76" s="68"/>
    </row>
    <row r="77" spans="1:5" ht="22" customHeight="1" x14ac:dyDescent="0.2">
      <c r="A77" s="243" t="s">
        <v>299</v>
      </c>
      <c r="B77" s="243"/>
      <c r="C77" s="243"/>
      <c r="D77" s="243"/>
      <c r="E77" s="243"/>
    </row>
    <row r="78" spans="1:5" ht="8" customHeight="1" x14ac:dyDescent="0.2">
      <c r="A78" s="102"/>
      <c r="B78" s="103"/>
      <c r="C78" s="68"/>
      <c r="D78" s="68"/>
      <c r="E78" s="68"/>
    </row>
    <row r="79" spans="1:5" ht="22" customHeight="1" x14ac:dyDescent="0.2">
      <c r="A79" s="212" t="s">
        <v>300</v>
      </c>
      <c r="B79" s="212"/>
      <c r="C79" s="212"/>
      <c r="D79" s="212"/>
      <c r="E79" s="212"/>
    </row>
    <row r="80" spans="1:5" ht="22" customHeight="1" x14ac:dyDescent="0.2">
      <c r="A80" s="212" t="s">
        <v>301</v>
      </c>
      <c r="B80" s="212"/>
      <c r="C80" s="212"/>
      <c r="D80" s="212"/>
      <c r="E80" s="212"/>
    </row>
    <row r="81" spans="1:5" ht="22" customHeight="1" x14ac:dyDescent="0.2">
      <c r="A81" s="212" t="s">
        <v>302</v>
      </c>
      <c r="B81" s="212"/>
      <c r="C81" s="212"/>
      <c r="D81" s="212"/>
      <c r="E81" s="212"/>
    </row>
    <row r="82" spans="1:5" ht="8" customHeight="1" x14ac:dyDescent="0.2">
      <c r="A82" s="102"/>
      <c r="B82" s="103"/>
      <c r="C82" s="68"/>
      <c r="D82" s="68"/>
      <c r="E82" s="68"/>
    </row>
    <row r="83" spans="1:5" ht="42" customHeight="1" x14ac:dyDescent="0.2">
      <c r="A83" s="283" t="s">
        <v>303</v>
      </c>
      <c r="B83" s="236"/>
      <c r="C83" s="236"/>
      <c r="D83" s="236"/>
      <c r="E83" s="236"/>
    </row>
    <row r="84" spans="1:5" ht="8" customHeight="1" x14ac:dyDescent="0.2">
      <c r="A84" s="102"/>
      <c r="B84" s="103"/>
      <c r="C84" s="68"/>
      <c r="D84" s="68"/>
      <c r="E84" s="68"/>
    </row>
    <row r="85" spans="1:5" ht="28" customHeight="1" x14ac:dyDescent="0.2">
      <c r="A85" s="245" t="s">
        <v>304</v>
      </c>
      <c r="B85" s="245"/>
      <c r="C85" s="245"/>
      <c r="D85" s="245"/>
      <c r="E85" s="245"/>
    </row>
    <row r="86" spans="1:5" ht="8" customHeight="1" x14ac:dyDescent="0.2">
      <c r="A86" s="102"/>
      <c r="B86" s="103"/>
      <c r="C86" s="68"/>
      <c r="D86" s="68"/>
      <c r="E86" s="68"/>
    </row>
    <row r="87" spans="1:5" ht="8" customHeight="1" x14ac:dyDescent="0.2">
      <c r="A87" s="102"/>
      <c r="B87" s="103"/>
      <c r="C87" s="68"/>
      <c r="D87" s="68"/>
      <c r="E87" s="68"/>
    </row>
    <row r="88" spans="1:5" ht="8" customHeight="1" x14ac:dyDescent="0.2">
      <c r="A88" s="102"/>
      <c r="B88" s="103"/>
      <c r="C88" s="68"/>
      <c r="D88" s="68"/>
      <c r="E88" s="68"/>
    </row>
    <row r="89" spans="1:5" ht="30" customHeight="1" thickBot="1" x14ac:dyDescent="0.25">
      <c r="A89" s="246" t="s">
        <v>305</v>
      </c>
      <c r="B89" s="246"/>
      <c r="C89" s="246"/>
      <c r="D89" s="246"/>
      <c r="E89" s="246"/>
    </row>
    <row r="90" spans="1:5" ht="8" customHeight="1" x14ac:dyDescent="0.2">
      <c r="A90" s="109"/>
      <c r="B90" s="109"/>
      <c r="C90" s="110"/>
      <c r="D90" s="110"/>
      <c r="E90" s="110"/>
    </row>
    <row r="91" spans="1:5" ht="22" customHeight="1" x14ac:dyDescent="0.2">
      <c r="A91" s="242" t="s">
        <v>306</v>
      </c>
      <c r="B91" s="242"/>
      <c r="C91" s="242"/>
      <c r="D91" s="242"/>
      <c r="E91" s="242"/>
    </row>
    <row r="92" spans="1:5" ht="8" customHeight="1" x14ac:dyDescent="0.2">
      <c r="A92" s="102"/>
      <c r="B92" s="102"/>
      <c r="C92" s="68"/>
      <c r="D92" s="68"/>
      <c r="E92" s="68"/>
    </row>
    <row r="93" spans="1:5" ht="22" customHeight="1" x14ac:dyDescent="0.2">
      <c r="A93" s="243" t="s">
        <v>299</v>
      </c>
      <c r="B93" s="243"/>
      <c r="C93" s="243"/>
      <c r="D93" s="243"/>
      <c r="E93" s="243"/>
    </row>
    <row r="94" spans="1:5" ht="8" customHeight="1" x14ac:dyDescent="0.2">
      <c r="A94" s="102"/>
      <c r="B94" s="102"/>
      <c r="C94" s="68"/>
      <c r="D94" s="68"/>
      <c r="E94" s="68"/>
    </row>
    <row r="95" spans="1:5" ht="22" customHeight="1" x14ac:dyDescent="0.2">
      <c r="A95" s="212" t="s">
        <v>307</v>
      </c>
      <c r="B95" s="212"/>
      <c r="C95" s="212"/>
      <c r="D95" s="212"/>
      <c r="E95" s="212"/>
    </row>
    <row r="96" spans="1:5" ht="22" customHeight="1" x14ac:dyDescent="0.2">
      <c r="A96" s="212" t="s">
        <v>308</v>
      </c>
      <c r="B96" s="212"/>
      <c r="C96" s="212"/>
      <c r="D96" s="212"/>
      <c r="E96" s="212"/>
    </row>
    <row r="97" spans="1:5" ht="22" customHeight="1" x14ac:dyDescent="0.2">
      <c r="A97" s="212" t="s">
        <v>309</v>
      </c>
      <c r="B97" s="212"/>
      <c r="C97" s="212"/>
      <c r="D97" s="212"/>
      <c r="E97" s="212"/>
    </row>
    <row r="98" spans="1:5" ht="8" customHeight="1" x14ac:dyDescent="0.2">
      <c r="A98" s="102"/>
      <c r="B98" s="102"/>
      <c r="C98" s="68"/>
      <c r="D98" s="68"/>
      <c r="E98" s="68"/>
    </row>
    <row r="99" spans="1:5" ht="22" customHeight="1" x14ac:dyDescent="0.2">
      <c r="A99" s="243" t="s">
        <v>310</v>
      </c>
      <c r="B99" s="243"/>
      <c r="C99" s="243"/>
      <c r="D99" s="243"/>
      <c r="E99" s="243"/>
    </row>
    <row r="100" spans="1:5" ht="8" customHeight="1" x14ac:dyDescent="0.2">
      <c r="A100" s="102"/>
      <c r="B100" s="68"/>
      <c r="C100" s="68"/>
      <c r="D100" s="68"/>
      <c r="E100" s="68"/>
    </row>
    <row r="101" spans="1:5" ht="22" customHeight="1" x14ac:dyDescent="0.2">
      <c r="A101" s="244" t="s">
        <v>311</v>
      </c>
      <c r="B101" s="244"/>
      <c r="C101" s="244"/>
      <c r="D101" s="244"/>
      <c r="E101" s="244"/>
    </row>
    <row r="102" spans="1:5" ht="22" customHeight="1" x14ac:dyDescent="0.2">
      <c r="A102" s="244" t="s">
        <v>312</v>
      </c>
      <c r="B102" s="244"/>
      <c r="C102" s="244"/>
      <c r="D102" s="244"/>
      <c r="E102" s="244"/>
    </row>
    <row r="103" spans="1:5" ht="22" customHeight="1" x14ac:dyDescent="0.2">
      <c r="A103" s="244" t="s">
        <v>313</v>
      </c>
      <c r="B103" s="244"/>
      <c r="C103" s="244"/>
      <c r="D103" s="244"/>
      <c r="E103" s="244"/>
    </row>
    <row r="104" spans="1:5" ht="22" customHeight="1" x14ac:dyDescent="0.2">
      <c r="A104" s="244" t="s">
        <v>314</v>
      </c>
      <c r="B104" s="244"/>
      <c r="C104" s="244"/>
      <c r="D104" s="244"/>
      <c r="E104" s="244"/>
    </row>
    <row r="105" spans="1:5" ht="8" customHeight="1" x14ac:dyDescent="0.2">
      <c r="A105" s="102"/>
      <c r="B105" s="68"/>
      <c r="C105" s="68"/>
      <c r="D105" s="68"/>
      <c r="E105" s="68"/>
    </row>
    <row r="106" spans="1:5" ht="55" customHeight="1" x14ac:dyDescent="0.2">
      <c r="A106" s="283" t="s">
        <v>371</v>
      </c>
      <c r="B106" s="236"/>
      <c r="C106" s="236"/>
      <c r="D106" s="236"/>
      <c r="E106" s="236"/>
    </row>
    <row r="107" spans="1:5" ht="8" customHeight="1" x14ac:dyDescent="0.2">
      <c r="A107" s="102"/>
      <c r="B107" s="91"/>
      <c r="C107" s="68"/>
      <c r="D107" s="68"/>
      <c r="E107" s="68"/>
    </row>
    <row r="108" spans="1:5" ht="28" customHeight="1" x14ac:dyDescent="0.2">
      <c r="A108" s="248" t="s">
        <v>315</v>
      </c>
      <c r="B108" s="248"/>
      <c r="C108" s="248"/>
      <c r="D108" s="248"/>
      <c r="E108" s="248"/>
    </row>
    <row r="109" spans="1:5" ht="8" customHeight="1" x14ac:dyDescent="0.2">
      <c r="A109" s="102"/>
      <c r="B109" s="91"/>
      <c r="C109" s="68"/>
      <c r="D109" s="68"/>
      <c r="E109" s="68"/>
    </row>
    <row r="110" spans="1:5" ht="8" customHeight="1" x14ac:dyDescent="0.2">
      <c r="A110" s="102"/>
      <c r="B110" s="91"/>
      <c r="C110" s="68"/>
      <c r="D110" s="68"/>
      <c r="E110" s="68"/>
    </row>
    <row r="111" spans="1:5" ht="8" customHeight="1" x14ac:dyDescent="0.2">
      <c r="A111" s="102"/>
      <c r="B111" s="91"/>
      <c r="C111" s="68"/>
      <c r="D111" s="68"/>
      <c r="E111" s="68"/>
    </row>
    <row r="112" spans="1:5" ht="30" customHeight="1" thickBot="1" x14ac:dyDescent="0.25">
      <c r="A112" s="249" t="s">
        <v>316</v>
      </c>
      <c r="B112" s="249"/>
      <c r="C112" s="249"/>
      <c r="D112" s="249"/>
      <c r="E112" s="249"/>
    </row>
    <row r="113" spans="1:5" ht="8" customHeight="1" x14ac:dyDescent="0.2">
      <c r="A113" s="111"/>
      <c r="B113" s="74"/>
      <c r="C113" s="74"/>
      <c r="D113" s="74"/>
      <c r="E113" s="74"/>
    </row>
    <row r="114" spans="1:5" ht="22" customHeight="1" x14ac:dyDescent="0.2">
      <c r="A114" s="242" t="s">
        <v>317</v>
      </c>
      <c r="B114" s="242"/>
      <c r="C114" s="242"/>
      <c r="D114" s="242"/>
      <c r="E114" s="242"/>
    </row>
    <row r="115" spans="1:5" ht="8" customHeight="1" x14ac:dyDescent="0.2">
      <c r="A115" s="102"/>
      <c r="B115" s="68"/>
      <c r="C115" s="68"/>
      <c r="D115" s="68"/>
      <c r="E115" s="68"/>
    </row>
    <row r="116" spans="1:5" ht="22" customHeight="1" x14ac:dyDescent="0.2">
      <c r="A116" s="243" t="s">
        <v>318</v>
      </c>
      <c r="B116" s="243"/>
      <c r="C116" s="243"/>
      <c r="D116" s="243"/>
      <c r="E116" s="243"/>
    </row>
    <row r="117" spans="1:5" ht="8" customHeight="1" x14ac:dyDescent="0.2">
      <c r="A117" s="102"/>
      <c r="B117" s="68"/>
      <c r="C117" s="68"/>
      <c r="D117" s="68"/>
      <c r="E117" s="68"/>
    </row>
    <row r="118" spans="1:5" ht="22" customHeight="1" x14ac:dyDescent="0.2">
      <c r="A118" s="212" t="s">
        <v>319</v>
      </c>
      <c r="B118" s="212"/>
      <c r="C118" s="212"/>
      <c r="D118" s="212"/>
      <c r="E118" s="212"/>
    </row>
    <row r="119" spans="1:5" ht="22" customHeight="1" x14ac:dyDescent="0.2">
      <c r="A119" s="212" t="s">
        <v>320</v>
      </c>
      <c r="B119" s="212"/>
      <c r="C119" s="212"/>
      <c r="D119" s="212"/>
      <c r="E119" s="212"/>
    </row>
    <row r="120" spans="1:5" ht="22" customHeight="1" x14ac:dyDescent="0.2">
      <c r="A120" s="212" t="s">
        <v>321</v>
      </c>
      <c r="B120" s="212"/>
      <c r="C120" s="212"/>
      <c r="D120" s="212"/>
      <c r="E120" s="212"/>
    </row>
    <row r="121" spans="1:5" ht="8" customHeight="1" x14ac:dyDescent="0.2">
      <c r="A121" s="102"/>
      <c r="B121" s="68"/>
      <c r="C121" s="68"/>
      <c r="D121" s="68"/>
      <c r="E121" s="68"/>
    </row>
    <row r="122" spans="1:5" ht="22" customHeight="1" x14ac:dyDescent="0.2">
      <c r="A122" s="243" t="s">
        <v>322</v>
      </c>
      <c r="B122" s="243"/>
      <c r="C122" s="243"/>
      <c r="D122" s="243"/>
      <c r="E122" s="243"/>
    </row>
    <row r="123" spans="1:5" ht="8" customHeight="1" x14ac:dyDescent="0.2">
      <c r="A123" s="102"/>
      <c r="B123" s="68"/>
      <c r="C123" s="68"/>
      <c r="D123" s="68"/>
      <c r="E123" s="68"/>
    </row>
    <row r="124" spans="1:5" ht="24" customHeight="1" x14ac:dyDescent="0.2">
      <c r="A124" s="247" t="s">
        <v>323</v>
      </c>
      <c r="B124" s="247"/>
      <c r="C124" s="247"/>
      <c r="D124" s="247"/>
      <c r="E124" s="247"/>
    </row>
    <row r="125" spans="1:5" ht="24" customHeight="1" x14ac:dyDescent="0.2">
      <c r="A125" s="247" t="s">
        <v>324</v>
      </c>
      <c r="B125" s="247"/>
      <c r="C125" s="247"/>
      <c r="D125" s="247"/>
      <c r="E125" s="247"/>
    </row>
    <row r="126" spans="1:5" ht="24" customHeight="1" x14ac:dyDescent="0.2">
      <c r="A126" s="247" t="s">
        <v>325</v>
      </c>
      <c r="B126" s="247"/>
      <c r="C126" s="247"/>
      <c r="D126" s="247"/>
      <c r="E126" s="247"/>
    </row>
    <row r="127" spans="1:5" ht="24" customHeight="1" x14ac:dyDescent="0.2">
      <c r="A127" s="247" t="s">
        <v>326</v>
      </c>
      <c r="B127" s="247"/>
      <c r="C127" s="247"/>
      <c r="D127" s="247"/>
      <c r="E127" s="247"/>
    </row>
    <row r="128" spans="1:5" ht="24" customHeight="1" x14ac:dyDescent="0.2">
      <c r="A128" s="247" t="s">
        <v>327</v>
      </c>
      <c r="B128" s="247"/>
      <c r="C128" s="247"/>
      <c r="D128" s="247"/>
      <c r="E128" s="247"/>
    </row>
    <row r="129" spans="1:5" ht="8" customHeight="1" x14ac:dyDescent="0.2">
      <c r="A129" s="102"/>
      <c r="B129" s="68"/>
      <c r="C129" s="68"/>
      <c r="D129" s="68"/>
      <c r="E129" s="68"/>
    </row>
    <row r="130" spans="1:5" ht="55" customHeight="1" x14ac:dyDescent="0.2">
      <c r="A130" s="283" t="s">
        <v>328</v>
      </c>
      <c r="B130" s="236"/>
      <c r="C130" s="236"/>
      <c r="D130" s="236"/>
      <c r="E130" s="236"/>
    </row>
    <row r="131" spans="1:5" ht="8" customHeight="1" x14ac:dyDescent="0.2">
      <c r="A131" s="102"/>
      <c r="B131" s="91"/>
      <c r="C131" s="68"/>
      <c r="D131" s="68"/>
      <c r="E131" s="68"/>
    </row>
    <row r="132" spans="1:5" ht="28" customHeight="1" x14ac:dyDescent="0.2">
      <c r="A132" s="252" t="s">
        <v>329</v>
      </c>
      <c r="B132" s="252"/>
      <c r="C132" s="252"/>
      <c r="D132" s="252"/>
      <c r="E132" s="252"/>
    </row>
    <row r="133" spans="1:5" ht="8" customHeight="1" x14ac:dyDescent="0.2">
      <c r="A133" s="102"/>
      <c r="B133" s="91"/>
      <c r="C133" s="68"/>
      <c r="D133" s="68"/>
      <c r="E133" s="68"/>
    </row>
    <row r="134" spans="1:5" ht="8" customHeight="1" x14ac:dyDescent="0.2">
      <c r="A134" s="102"/>
      <c r="B134" s="91"/>
      <c r="C134" s="68"/>
      <c r="D134" s="68"/>
      <c r="E134" s="68"/>
    </row>
    <row r="135" spans="1:5" ht="8" customHeight="1" x14ac:dyDescent="0.2">
      <c r="A135" s="102"/>
      <c r="B135" s="91"/>
      <c r="C135" s="68"/>
      <c r="D135" s="68"/>
      <c r="E135" s="68"/>
    </row>
    <row r="136" spans="1:5" ht="32" customHeight="1" x14ac:dyDescent="0.2">
      <c r="A136" s="187" t="s">
        <v>448</v>
      </c>
      <c r="B136" s="187"/>
      <c r="C136" s="187"/>
      <c r="D136" s="187"/>
      <c r="E136" s="187"/>
    </row>
    <row r="137" spans="1:5" ht="8" customHeight="1" x14ac:dyDescent="0.2">
      <c r="A137" s="112"/>
      <c r="B137" s="91"/>
      <c r="C137" s="68"/>
      <c r="D137" s="68"/>
      <c r="E137" s="68"/>
    </row>
    <row r="138" spans="1:5" ht="20" customHeight="1" x14ac:dyDescent="0.2">
      <c r="A138" s="253" t="s">
        <v>447</v>
      </c>
      <c r="B138" s="251"/>
      <c r="C138" s="251"/>
      <c r="D138" s="251"/>
      <c r="E138" s="251"/>
    </row>
    <row r="139" spans="1:5" ht="20" customHeight="1" x14ac:dyDescent="0.2">
      <c r="A139" s="250" t="s">
        <v>444</v>
      </c>
      <c r="B139" s="251"/>
      <c r="C139" s="251"/>
      <c r="D139" s="251"/>
      <c r="E139" s="251"/>
    </row>
  </sheetData>
  <mergeCells count="73">
    <mergeCell ref="A139:E139"/>
    <mergeCell ref="A127:E127"/>
    <mergeCell ref="A128:E128"/>
    <mergeCell ref="A130:E130"/>
    <mergeCell ref="A132:E132"/>
    <mergeCell ref="A136:E136"/>
    <mergeCell ref="A138:E138"/>
    <mergeCell ref="A126:E126"/>
    <mergeCell ref="A106:E106"/>
    <mergeCell ref="A108:E108"/>
    <mergeCell ref="A112:E112"/>
    <mergeCell ref="A114:E114"/>
    <mergeCell ref="A116:E116"/>
    <mergeCell ref="A118:E118"/>
    <mergeCell ref="A119:E119"/>
    <mergeCell ref="A120:E120"/>
    <mergeCell ref="A122:E122"/>
    <mergeCell ref="A124:E124"/>
    <mergeCell ref="A125:E125"/>
    <mergeCell ref="A104:E104"/>
    <mergeCell ref="A85:E85"/>
    <mergeCell ref="A89:E89"/>
    <mergeCell ref="A91:E91"/>
    <mergeCell ref="A93:E93"/>
    <mergeCell ref="A95:E95"/>
    <mergeCell ref="A96:E96"/>
    <mergeCell ref="A97:E97"/>
    <mergeCell ref="A99:E99"/>
    <mergeCell ref="A101:E101"/>
    <mergeCell ref="A102:E102"/>
    <mergeCell ref="A103:E103"/>
    <mergeCell ref="A83:E83"/>
    <mergeCell ref="A65:E65"/>
    <mergeCell ref="A67:E67"/>
    <mergeCell ref="A68:E68"/>
    <mergeCell ref="A69:E69"/>
    <mergeCell ref="A71:E71"/>
    <mergeCell ref="A73:E73"/>
    <mergeCell ref="A75:E75"/>
    <mergeCell ref="A77:E77"/>
    <mergeCell ref="A79:E79"/>
    <mergeCell ref="A80:E80"/>
    <mergeCell ref="A81:E81"/>
    <mergeCell ref="A63:E63"/>
    <mergeCell ref="A40:E40"/>
    <mergeCell ref="A41:E41"/>
    <mergeCell ref="A42:E42"/>
    <mergeCell ref="A43:E43"/>
    <mergeCell ref="A45:E45"/>
    <mergeCell ref="A46:E46"/>
    <mergeCell ref="A55:E55"/>
    <mergeCell ref="A57:E57"/>
    <mergeCell ref="A59:E59"/>
    <mergeCell ref="A61:E61"/>
    <mergeCell ref="A62:E62"/>
    <mergeCell ref="A39:E39"/>
    <mergeCell ref="A27:E27"/>
    <mergeCell ref="A29:E29"/>
    <mergeCell ref="A30:E30"/>
    <mergeCell ref="A31:E31"/>
    <mergeCell ref="A32:E32"/>
    <mergeCell ref="A33:E33"/>
    <mergeCell ref="A34:E34"/>
    <mergeCell ref="A35:E35"/>
    <mergeCell ref="A36:E36"/>
    <mergeCell ref="A37:E37"/>
    <mergeCell ref="A38:E38"/>
    <mergeCell ref="A25:E25"/>
    <mergeCell ref="A1:E1"/>
    <mergeCell ref="A3:E3"/>
    <mergeCell ref="A5:E5"/>
    <mergeCell ref="A9:E9"/>
    <mergeCell ref="A16:E1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2"/>
  <sheetViews>
    <sheetView zoomScale="64" zoomScaleNormal="64" workbookViewId="0">
      <pane xSplit="1" ySplit="2" topLeftCell="B3" activePane="bottomRight" state="frozen"/>
      <selection pane="topRight" activeCell="B1" sqref="B1"/>
      <selection pane="bottomLeft" activeCell="A3" sqref="A3"/>
      <selection pane="bottomRight" activeCell="A2" sqref="A2:XFD2"/>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259" customFormat="1" ht="31" customHeight="1" thickBot="1" x14ac:dyDescent="0.25">
      <c r="A1" s="256" t="s">
        <v>375</v>
      </c>
      <c r="B1" s="257"/>
      <c r="C1" s="257"/>
      <c r="D1" s="257"/>
      <c r="E1" s="257"/>
      <c r="F1" s="258"/>
      <c r="G1" s="258"/>
      <c r="H1" s="258"/>
      <c r="I1" s="258"/>
    </row>
    <row r="2" spans="1:20" s="3" customFormat="1" ht="19" x14ac:dyDescent="0.2">
      <c r="A2" s="32" t="s">
        <v>0</v>
      </c>
      <c r="B2" s="30" t="s">
        <v>387</v>
      </c>
      <c r="C2" s="30" t="s">
        <v>388</v>
      </c>
      <c r="D2" s="30" t="s">
        <v>1</v>
      </c>
      <c r="E2" s="30" t="s">
        <v>2</v>
      </c>
      <c r="F2" s="30" t="s">
        <v>3</v>
      </c>
      <c r="G2" s="30" t="s">
        <v>4</v>
      </c>
      <c r="H2" s="30" t="s">
        <v>5</v>
      </c>
      <c r="I2" s="31" t="s">
        <v>6</v>
      </c>
    </row>
    <row r="3" spans="1:20" ht="85" x14ac:dyDescent="0.2">
      <c r="A3" s="40">
        <v>1.1000000000000001</v>
      </c>
      <c r="B3" s="33" t="s">
        <v>7</v>
      </c>
      <c r="C3" s="34" t="s">
        <v>391</v>
      </c>
      <c r="D3" s="46" t="s">
        <v>340</v>
      </c>
      <c r="E3" s="43">
        <v>5</v>
      </c>
      <c r="F3" s="34" t="s">
        <v>9</v>
      </c>
      <c r="G3" s="34" t="s">
        <v>10</v>
      </c>
      <c r="H3" s="34" t="s">
        <v>11</v>
      </c>
      <c r="I3" s="35" t="s">
        <v>12</v>
      </c>
      <c r="J3" s="2"/>
      <c r="K3" s="2"/>
      <c r="L3" s="2"/>
      <c r="M3" s="2"/>
      <c r="N3" s="2"/>
      <c r="O3" s="2"/>
      <c r="P3" s="2"/>
      <c r="Q3" s="2"/>
      <c r="R3" s="2"/>
      <c r="S3" s="2"/>
      <c r="T3" s="2"/>
    </row>
    <row r="4" spans="1:20" ht="51" x14ac:dyDescent="0.2">
      <c r="A4" s="41">
        <v>1.2</v>
      </c>
      <c r="B4" s="36" t="s">
        <v>13</v>
      </c>
      <c r="C4" s="37" t="s">
        <v>392</v>
      </c>
      <c r="D4" s="46" t="s">
        <v>340</v>
      </c>
      <c r="E4" s="44">
        <v>5</v>
      </c>
      <c r="F4" s="37" t="s">
        <v>14</v>
      </c>
      <c r="G4" s="37" t="s">
        <v>15</v>
      </c>
      <c r="H4" s="37" t="s">
        <v>16</v>
      </c>
      <c r="I4" s="38" t="s">
        <v>17</v>
      </c>
      <c r="J4" s="2"/>
      <c r="K4" s="2"/>
      <c r="L4" s="2"/>
      <c r="M4" s="2"/>
      <c r="N4" s="2"/>
      <c r="O4" s="2"/>
      <c r="P4" s="2"/>
      <c r="Q4" s="2"/>
      <c r="R4" s="2"/>
      <c r="S4" s="2"/>
      <c r="T4" s="2"/>
    </row>
    <row r="5" spans="1:20" ht="85" x14ac:dyDescent="0.2">
      <c r="A5" s="40">
        <v>1.3</v>
      </c>
      <c r="B5" s="33" t="s">
        <v>18</v>
      </c>
      <c r="C5" s="34" t="s">
        <v>412</v>
      </c>
      <c r="D5" s="47" t="s">
        <v>374</v>
      </c>
      <c r="E5" s="43">
        <v>3</v>
      </c>
      <c r="F5" s="34" t="s">
        <v>19</v>
      </c>
      <c r="G5" s="34" t="s">
        <v>20</v>
      </c>
      <c r="H5" s="34" t="s">
        <v>21</v>
      </c>
      <c r="I5" s="35" t="s">
        <v>22</v>
      </c>
      <c r="J5" s="2"/>
      <c r="K5" s="2"/>
      <c r="L5" s="2"/>
      <c r="M5" s="2"/>
      <c r="N5" s="2"/>
      <c r="O5" s="2"/>
      <c r="P5" s="2"/>
      <c r="Q5" s="2"/>
      <c r="R5" s="2"/>
      <c r="S5" s="2"/>
      <c r="T5" s="2"/>
    </row>
    <row r="6" spans="1:20" ht="68" x14ac:dyDescent="0.2">
      <c r="A6" s="41">
        <v>1.4</v>
      </c>
      <c r="B6" s="37" t="s">
        <v>378</v>
      </c>
      <c r="C6" s="37" t="s">
        <v>393</v>
      </c>
      <c r="D6" s="47" t="s">
        <v>374</v>
      </c>
      <c r="E6" s="44">
        <v>3</v>
      </c>
      <c r="F6" s="37" t="s">
        <v>23</v>
      </c>
      <c r="G6" s="37" t="s">
        <v>24</v>
      </c>
      <c r="H6" s="37" t="s">
        <v>25</v>
      </c>
      <c r="I6" s="38" t="s">
        <v>26</v>
      </c>
      <c r="J6" s="2"/>
      <c r="K6" s="2"/>
      <c r="L6" s="2"/>
      <c r="M6" s="2"/>
      <c r="N6" s="2"/>
      <c r="O6" s="2"/>
      <c r="P6" s="2"/>
      <c r="Q6" s="2"/>
      <c r="R6" s="2"/>
      <c r="S6" s="2"/>
      <c r="T6" s="2"/>
    </row>
    <row r="7" spans="1:20" ht="68" x14ac:dyDescent="0.2">
      <c r="A7" s="40">
        <v>1.5</v>
      </c>
      <c r="B7" s="34" t="s">
        <v>379</v>
      </c>
      <c r="C7" s="34" t="s">
        <v>411</v>
      </c>
      <c r="D7" s="47" t="s">
        <v>374</v>
      </c>
      <c r="E7" s="43">
        <v>3</v>
      </c>
      <c r="F7" s="34" t="s">
        <v>23</v>
      </c>
      <c r="G7" s="34" t="s">
        <v>27</v>
      </c>
      <c r="H7" s="34" t="s">
        <v>28</v>
      </c>
      <c r="I7" s="180" t="s">
        <v>29</v>
      </c>
      <c r="J7" s="183"/>
      <c r="K7" s="2"/>
      <c r="L7" s="2"/>
      <c r="M7" s="2"/>
      <c r="N7" s="2"/>
      <c r="O7" s="2"/>
      <c r="P7" s="2"/>
      <c r="Q7" s="2"/>
      <c r="R7" s="2"/>
      <c r="S7" s="2"/>
      <c r="T7" s="2"/>
    </row>
    <row r="8" spans="1:20" ht="85" x14ac:dyDescent="0.2">
      <c r="A8" s="41">
        <v>2.1</v>
      </c>
      <c r="B8" s="37" t="s">
        <v>380</v>
      </c>
      <c r="C8" s="37" t="s">
        <v>394</v>
      </c>
      <c r="D8" s="47" t="s">
        <v>374</v>
      </c>
      <c r="E8" s="44">
        <v>4</v>
      </c>
      <c r="F8" s="37" t="s">
        <v>30</v>
      </c>
      <c r="G8" s="37" t="s">
        <v>31</v>
      </c>
      <c r="H8" s="37" t="s">
        <v>32</v>
      </c>
      <c r="I8" s="178" t="s">
        <v>33</v>
      </c>
      <c r="J8" s="183"/>
      <c r="K8" s="2"/>
      <c r="L8" s="2"/>
      <c r="M8" s="2"/>
      <c r="N8" s="2"/>
      <c r="O8" s="2"/>
      <c r="P8" s="2"/>
      <c r="Q8" s="2"/>
      <c r="R8" s="2"/>
      <c r="S8" s="2"/>
      <c r="T8" s="2"/>
    </row>
    <row r="9" spans="1:20" ht="68" x14ac:dyDescent="0.2">
      <c r="A9" s="40">
        <v>2.2000000000000002</v>
      </c>
      <c r="B9" s="34" t="s">
        <v>381</v>
      </c>
      <c r="C9" s="34" t="s">
        <v>395</v>
      </c>
      <c r="D9" s="48" t="s">
        <v>351</v>
      </c>
      <c r="E9" s="43">
        <v>5</v>
      </c>
      <c r="F9" s="34" t="s">
        <v>35</v>
      </c>
      <c r="G9" s="34" t="s">
        <v>36</v>
      </c>
      <c r="H9" s="34" t="s">
        <v>37</v>
      </c>
      <c r="I9" s="180" t="s">
        <v>38</v>
      </c>
      <c r="J9" s="183"/>
      <c r="K9" s="2"/>
      <c r="L9" s="2"/>
      <c r="M9" s="2"/>
      <c r="N9" s="2"/>
      <c r="O9" s="2"/>
      <c r="P9" s="2"/>
      <c r="Q9" s="2"/>
      <c r="R9" s="2"/>
      <c r="S9" s="2"/>
      <c r="T9" s="2"/>
    </row>
    <row r="10" spans="1:20" ht="85" x14ac:dyDescent="0.2">
      <c r="A10" s="41">
        <v>2.2999999999999998</v>
      </c>
      <c r="B10" s="37" t="s">
        <v>382</v>
      </c>
      <c r="C10" s="37" t="s">
        <v>396</v>
      </c>
      <c r="D10" s="48" t="s">
        <v>351</v>
      </c>
      <c r="E10" s="44">
        <v>5</v>
      </c>
      <c r="F10" s="37" t="s">
        <v>39</v>
      </c>
      <c r="G10" s="37" t="s">
        <v>40</v>
      </c>
      <c r="H10" s="37" t="s">
        <v>41</v>
      </c>
      <c r="I10" s="178" t="s">
        <v>42</v>
      </c>
      <c r="J10" s="183"/>
      <c r="K10" s="2"/>
      <c r="L10" s="2"/>
      <c r="M10" s="2"/>
      <c r="N10" s="2"/>
      <c r="O10" s="2"/>
      <c r="P10" s="2"/>
      <c r="Q10" s="2"/>
      <c r="R10" s="2"/>
      <c r="S10" s="2"/>
      <c r="T10" s="2"/>
    </row>
    <row r="11" spans="1:20" ht="85" x14ac:dyDescent="0.2">
      <c r="A11" s="40">
        <v>2.4</v>
      </c>
      <c r="B11" s="33" t="s">
        <v>43</v>
      </c>
      <c r="C11" s="34" t="s">
        <v>397</v>
      </c>
      <c r="D11" s="47" t="s">
        <v>374</v>
      </c>
      <c r="E11" s="43">
        <v>5</v>
      </c>
      <c r="F11" s="34" t="s">
        <v>101</v>
      </c>
      <c r="G11" s="34" t="s">
        <v>44</v>
      </c>
      <c r="H11" s="34" t="s">
        <v>45</v>
      </c>
      <c r="I11" s="180" t="s">
        <v>331</v>
      </c>
      <c r="J11" s="183"/>
      <c r="K11" s="2"/>
      <c r="L11" s="2"/>
      <c r="M11" s="2"/>
      <c r="N11" s="2"/>
      <c r="O11" s="2"/>
      <c r="P11" s="2"/>
      <c r="Q11" s="2"/>
      <c r="R11" s="2"/>
      <c r="S11" s="2"/>
      <c r="T11" s="2"/>
    </row>
    <row r="12" spans="1:20" ht="85" x14ac:dyDescent="0.2">
      <c r="A12" s="41">
        <v>2.5</v>
      </c>
      <c r="B12" s="36" t="s">
        <v>46</v>
      </c>
      <c r="C12" s="37" t="s">
        <v>398</v>
      </c>
      <c r="D12" s="48" t="s">
        <v>351</v>
      </c>
      <c r="E12" s="44">
        <v>4</v>
      </c>
      <c r="F12" s="37" t="s">
        <v>47</v>
      </c>
      <c r="G12" s="37" t="s">
        <v>48</v>
      </c>
      <c r="H12" s="37" t="s">
        <v>49</v>
      </c>
      <c r="I12" s="178" t="s">
        <v>50</v>
      </c>
      <c r="J12" s="183"/>
      <c r="K12" s="2"/>
      <c r="L12" s="2"/>
      <c r="M12" s="2"/>
      <c r="N12" s="2"/>
      <c r="O12" s="2"/>
      <c r="P12" s="2"/>
      <c r="Q12" s="2"/>
      <c r="R12" s="2"/>
      <c r="S12" s="2"/>
      <c r="T12" s="2"/>
    </row>
    <row r="13" spans="1:20" ht="68" x14ac:dyDescent="0.2">
      <c r="A13" s="40">
        <v>2.6</v>
      </c>
      <c r="B13" s="33" t="s">
        <v>51</v>
      </c>
      <c r="C13" s="34" t="s">
        <v>399</v>
      </c>
      <c r="D13" s="48" t="s">
        <v>351</v>
      </c>
      <c r="E13" s="43">
        <v>3</v>
      </c>
      <c r="F13" s="34" t="s">
        <v>19</v>
      </c>
      <c r="G13" s="34" t="s">
        <v>52</v>
      </c>
      <c r="H13" s="34" t="s">
        <v>53</v>
      </c>
      <c r="I13" s="180" t="s">
        <v>54</v>
      </c>
      <c r="J13" s="183"/>
      <c r="K13" s="2"/>
      <c r="L13" s="2"/>
      <c r="M13" s="2"/>
      <c r="N13" s="2"/>
      <c r="O13" s="2"/>
      <c r="P13" s="2"/>
      <c r="Q13" s="2"/>
      <c r="R13" s="2"/>
      <c r="S13" s="2"/>
      <c r="T13" s="2"/>
    </row>
    <row r="14" spans="1:20" ht="68" x14ac:dyDescent="0.2">
      <c r="A14" s="41">
        <v>2.7</v>
      </c>
      <c r="B14" s="36" t="s">
        <v>55</v>
      </c>
      <c r="C14" s="37" t="s">
        <v>400</v>
      </c>
      <c r="D14" s="47" t="s">
        <v>374</v>
      </c>
      <c r="E14" s="44">
        <v>3</v>
      </c>
      <c r="F14" s="37" t="s">
        <v>56</v>
      </c>
      <c r="G14" s="37" t="s">
        <v>57</v>
      </c>
      <c r="H14" s="37" t="s">
        <v>58</v>
      </c>
      <c r="I14" s="178" t="s">
        <v>59</v>
      </c>
      <c r="J14" s="183"/>
      <c r="K14" s="2"/>
      <c r="L14" s="2"/>
      <c r="M14" s="2"/>
      <c r="N14" s="2"/>
      <c r="O14" s="2"/>
      <c r="P14" s="2"/>
      <c r="Q14" s="2"/>
      <c r="R14" s="2"/>
      <c r="S14" s="2"/>
      <c r="T14" s="2"/>
    </row>
    <row r="15" spans="1:20" ht="97" customHeight="1" x14ac:dyDescent="0.2">
      <c r="A15" s="40">
        <v>2.8</v>
      </c>
      <c r="B15" s="33" t="s">
        <v>60</v>
      </c>
      <c r="C15" s="34" t="s">
        <v>401</v>
      </c>
      <c r="D15" s="47" t="s">
        <v>374</v>
      </c>
      <c r="E15" s="43">
        <v>3</v>
      </c>
      <c r="F15" s="34" t="s">
        <v>330</v>
      </c>
      <c r="G15" s="34" t="s">
        <v>332</v>
      </c>
      <c r="H15" s="34" t="s">
        <v>333</v>
      </c>
      <c r="I15" s="180" t="s">
        <v>331</v>
      </c>
      <c r="J15" s="183"/>
      <c r="K15" s="2"/>
      <c r="L15" s="2"/>
      <c r="M15" s="2"/>
      <c r="N15" s="2"/>
      <c r="O15" s="2"/>
      <c r="P15" s="2"/>
      <c r="Q15" s="2"/>
      <c r="R15" s="2"/>
      <c r="S15" s="2"/>
      <c r="T15" s="2"/>
    </row>
    <row r="16" spans="1:20" ht="97" customHeight="1" x14ac:dyDescent="0.2">
      <c r="A16" s="41">
        <v>3.1</v>
      </c>
      <c r="B16" s="37" t="s">
        <v>383</v>
      </c>
      <c r="C16" s="37" t="s">
        <v>402</v>
      </c>
      <c r="D16" s="47" t="s">
        <v>374</v>
      </c>
      <c r="E16" s="53">
        <v>4</v>
      </c>
      <c r="F16" s="37" t="s">
        <v>408</v>
      </c>
      <c r="G16" s="37" t="s">
        <v>409</v>
      </c>
      <c r="H16" s="37" t="s">
        <v>65</v>
      </c>
      <c r="I16" s="178" t="s">
        <v>410</v>
      </c>
      <c r="J16" s="183"/>
      <c r="K16" s="2"/>
      <c r="L16" s="2"/>
      <c r="M16" s="2"/>
      <c r="N16" s="2"/>
      <c r="O16" s="2"/>
      <c r="P16" s="2"/>
      <c r="Q16" s="2"/>
      <c r="R16" s="2"/>
      <c r="S16" s="2"/>
      <c r="T16" s="2"/>
    </row>
    <row r="17" spans="1:20" ht="85" x14ac:dyDescent="0.2">
      <c r="A17" s="40">
        <v>4.0999999999999996</v>
      </c>
      <c r="B17" s="34" t="s">
        <v>384</v>
      </c>
      <c r="C17" s="34" t="s">
        <v>407</v>
      </c>
      <c r="D17" s="46" t="s">
        <v>340</v>
      </c>
      <c r="E17" s="58">
        <v>5</v>
      </c>
      <c r="F17" s="57" t="s">
        <v>61</v>
      </c>
      <c r="G17" s="57" t="s">
        <v>62</v>
      </c>
      <c r="H17" s="57" t="s">
        <v>63</v>
      </c>
      <c r="I17" s="181" t="s">
        <v>64</v>
      </c>
      <c r="J17" s="183"/>
      <c r="K17" s="2"/>
      <c r="L17" s="2"/>
      <c r="M17" s="2"/>
      <c r="N17" s="2"/>
      <c r="O17" s="2"/>
      <c r="P17" s="2"/>
      <c r="Q17" s="2"/>
      <c r="R17" s="2"/>
      <c r="S17" s="2"/>
      <c r="T17" s="2"/>
    </row>
    <row r="18" spans="1:20" ht="68" x14ac:dyDescent="0.2">
      <c r="A18" s="53">
        <v>5.0999999999999996</v>
      </c>
      <c r="B18" s="37" t="s">
        <v>385</v>
      </c>
      <c r="C18" s="37" t="s">
        <v>403</v>
      </c>
      <c r="D18" s="47" t="s">
        <v>374</v>
      </c>
      <c r="E18" s="53">
        <v>3</v>
      </c>
      <c r="F18" s="37" t="s">
        <v>67</v>
      </c>
      <c r="G18" s="37" t="s">
        <v>68</v>
      </c>
      <c r="H18" s="37" t="s">
        <v>69</v>
      </c>
      <c r="I18" s="178" t="s">
        <v>70</v>
      </c>
      <c r="J18" s="183"/>
      <c r="K18" s="2"/>
      <c r="L18" s="2"/>
      <c r="M18" s="2"/>
      <c r="N18" s="2"/>
      <c r="O18" s="2"/>
      <c r="P18" s="2"/>
      <c r="Q18" s="2"/>
      <c r="R18" s="2"/>
      <c r="S18" s="2"/>
      <c r="T18" s="2"/>
    </row>
    <row r="19" spans="1:20" ht="71" thickBot="1" x14ac:dyDescent="0.25">
      <c r="A19" s="40">
        <v>5.2</v>
      </c>
      <c r="B19" s="56" t="s">
        <v>71</v>
      </c>
      <c r="C19" s="57" t="s">
        <v>404</v>
      </c>
      <c r="D19" s="47" t="s">
        <v>374</v>
      </c>
      <c r="E19" s="58">
        <v>3</v>
      </c>
      <c r="F19" s="57" t="s">
        <v>72</v>
      </c>
      <c r="G19" s="57" t="s">
        <v>73</v>
      </c>
      <c r="H19" s="57" t="s">
        <v>74</v>
      </c>
      <c r="I19" s="181" t="s">
        <v>75</v>
      </c>
      <c r="J19" s="183"/>
      <c r="K19" s="2"/>
      <c r="L19" s="2"/>
      <c r="M19" s="2"/>
      <c r="N19" s="2"/>
      <c r="O19" s="2"/>
      <c r="P19" s="2"/>
      <c r="Q19" s="2"/>
      <c r="R19" s="2"/>
      <c r="S19" s="2"/>
      <c r="T19" s="2"/>
    </row>
    <row r="20" spans="1:20" ht="19" x14ac:dyDescent="0.2">
      <c r="A20" s="32" t="s">
        <v>386</v>
      </c>
      <c r="B20" s="30" t="s">
        <v>441</v>
      </c>
      <c r="C20" s="52"/>
      <c r="D20" s="32"/>
      <c r="E20" s="30"/>
      <c r="F20" s="30"/>
      <c r="G20" s="32"/>
      <c r="H20" s="30"/>
      <c r="I20" s="179"/>
      <c r="J20" s="183"/>
      <c r="K20" s="2"/>
      <c r="L20" s="2"/>
      <c r="M20" s="2"/>
      <c r="N20" s="2"/>
      <c r="O20" s="2"/>
      <c r="P20" s="2"/>
      <c r="Q20" s="2"/>
      <c r="R20" s="2"/>
      <c r="S20" s="2"/>
      <c r="T20" s="2"/>
    </row>
    <row r="21" spans="1:20" ht="68" x14ac:dyDescent="0.2">
      <c r="A21" s="40" t="s">
        <v>76</v>
      </c>
      <c r="B21" s="34" t="s">
        <v>389</v>
      </c>
      <c r="C21" s="34" t="s">
        <v>405</v>
      </c>
      <c r="D21" s="48" t="s">
        <v>351</v>
      </c>
      <c r="E21" s="43">
        <v>5</v>
      </c>
      <c r="F21" s="34" t="s">
        <v>79</v>
      </c>
      <c r="G21" s="34" t="s">
        <v>80</v>
      </c>
      <c r="H21" s="34" t="s">
        <v>81</v>
      </c>
      <c r="I21" s="180" t="s">
        <v>82</v>
      </c>
      <c r="J21" s="183"/>
      <c r="K21" s="2"/>
      <c r="L21" s="2"/>
      <c r="M21" s="2"/>
      <c r="N21" s="2"/>
      <c r="O21" s="2"/>
      <c r="P21" s="2"/>
      <c r="Q21" s="2"/>
      <c r="R21" s="2"/>
      <c r="S21" s="2"/>
      <c r="T21" s="2"/>
    </row>
    <row r="22" spans="1:20" ht="85" x14ac:dyDescent="0.2">
      <c r="A22" s="42" t="s">
        <v>83</v>
      </c>
      <c r="B22" s="39" t="s">
        <v>390</v>
      </c>
      <c r="C22" s="39" t="s">
        <v>406</v>
      </c>
      <c r="D22" s="49" t="s">
        <v>351</v>
      </c>
      <c r="E22" s="45">
        <v>5</v>
      </c>
      <c r="F22" s="39" t="s">
        <v>85</v>
      </c>
      <c r="G22" s="39" t="s">
        <v>86</v>
      </c>
      <c r="H22" s="39" t="s">
        <v>87</v>
      </c>
      <c r="I22" s="182" t="s">
        <v>88</v>
      </c>
      <c r="J22" s="183"/>
      <c r="K22" s="2"/>
      <c r="L22" s="2"/>
      <c r="M22" s="2"/>
      <c r="N22" s="2"/>
      <c r="O22" s="2"/>
      <c r="P22" s="2"/>
      <c r="Q22" s="2"/>
      <c r="R22" s="2"/>
      <c r="S22" s="2"/>
      <c r="T22" s="2"/>
    </row>
  </sheetData>
  <mergeCells count="1">
    <mergeCell ref="A1:E1"/>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tabSelected="1" zoomScale="98" zoomScaleNormal="98" workbookViewId="0">
      <pane xSplit="1" ySplit="2" topLeftCell="B5" activePane="bottomRight" state="frozen"/>
      <selection pane="topRight" activeCell="B1" sqref="B1"/>
      <selection pane="bottomLeft" activeCell="A3" sqref="A3"/>
      <selection pane="bottomRight" activeCell="A3" sqref="A3"/>
    </sheetView>
  </sheetViews>
  <sheetFormatPr baseColWidth="10" defaultColWidth="8.33203125" defaultRowHeight="20" customHeight="1" x14ac:dyDescent="0.2"/>
  <cols>
    <col min="1" max="1" width="13.33203125" style="54" customWidth="1"/>
    <col min="2" max="2" width="34.6640625" style="8" customWidth="1"/>
    <col min="3" max="3" width="33.33203125" style="8" customWidth="1"/>
    <col min="4" max="4" width="19.1640625" style="6" customWidth="1"/>
    <col min="5" max="5" width="36.6640625" style="8" customWidth="1"/>
    <col min="6" max="6" width="53.33203125" style="6" customWidth="1"/>
    <col min="7" max="7" width="53.33203125" style="8" customWidth="1"/>
    <col min="8" max="8" width="58.33203125" style="6" customWidth="1"/>
    <col min="9" max="9" width="46.6640625" style="6" customWidth="1"/>
    <col min="10" max="10" width="15.1640625" style="6" customWidth="1"/>
    <col min="11" max="11" width="8.33203125" style="6" customWidth="1"/>
    <col min="12" max="16384" width="8.33203125" style="6"/>
  </cols>
  <sheetData>
    <row r="1" spans="1:12" s="51" customFormat="1" ht="45" customHeight="1" thickBot="1" x14ac:dyDescent="0.25">
      <c r="A1" s="254" t="s">
        <v>372</v>
      </c>
      <c r="B1" s="255"/>
      <c r="C1" s="255"/>
      <c r="D1" s="255"/>
      <c r="E1" s="255"/>
      <c r="F1" s="255"/>
      <c r="G1" s="255"/>
      <c r="H1" s="255"/>
      <c r="I1" s="255"/>
      <c r="J1" s="255"/>
      <c r="K1" s="50"/>
    </row>
    <row r="2" spans="1:12" s="177" customFormat="1" ht="35" customHeight="1" x14ac:dyDescent="0.2">
      <c r="A2" s="171" t="s">
        <v>438</v>
      </c>
      <c r="B2" s="172" t="s">
        <v>437</v>
      </c>
      <c r="C2" s="173" t="s">
        <v>334</v>
      </c>
      <c r="D2" s="173" t="s">
        <v>1</v>
      </c>
      <c r="E2" s="173" t="s">
        <v>335</v>
      </c>
      <c r="F2" s="173" t="s">
        <v>336</v>
      </c>
      <c r="G2" s="173" t="s">
        <v>5</v>
      </c>
      <c r="H2" s="173" t="s">
        <v>337</v>
      </c>
      <c r="I2" s="174" t="s">
        <v>6</v>
      </c>
      <c r="J2" s="175" t="s">
        <v>338</v>
      </c>
      <c r="K2" s="176"/>
    </row>
    <row r="3" spans="1:12" s="7" customFormat="1" ht="100" customHeight="1" x14ac:dyDescent="0.2">
      <c r="A3" s="167">
        <v>1.1000000000000001</v>
      </c>
      <c r="B3" s="146" t="s">
        <v>7</v>
      </c>
      <c r="C3" s="147" t="s">
        <v>339</v>
      </c>
      <c r="D3" s="148" t="s">
        <v>340</v>
      </c>
      <c r="E3" s="147" t="s">
        <v>9</v>
      </c>
      <c r="F3" s="147" t="s">
        <v>10</v>
      </c>
      <c r="G3" s="147" t="s">
        <v>11</v>
      </c>
      <c r="H3" s="147" t="s">
        <v>341</v>
      </c>
      <c r="I3" s="149" t="s">
        <v>12</v>
      </c>
      <c r="J3" s="162" t="s">
        <v>342</v>
      </c>
      <c r="K3" s="29"/>
      <c r="L3" s="29"/>
    </row>
    <row r="4" spans="1:12" s="7" customFormat="1" ht="100" customHeight="1" x14ac:dyDescent="0.2">
      <c r="A4" s="168">
        <v>1.2</v>
      </c>
      <c r="B4" s="150" t="s">
        <v>13</v>
      </c>
      <c r="C4" s="151" t="s">
        <v>339</v>
      </c>
      <c r="D4" s="148" t="s">
        <v>340</v>
      </c>
      <c r="E4" s="151" t="s">
        <v>14</v>
      </c>
      <c r="F4" s="151" t="s">
        <v>15</v>
      </c>
      <c r="G4" s="151" t="s">
        <v>16</v>
      </c>
      <c r="H4" s="151" t="s">
        <v>343</v>
      </c>
      <c r="I4" s="152" t="s">
        <v>17</v>
      </c>
      <c r="J4" s="163" t="s">
        <v>342</v>
      </c>
      <c r="K4" s="29"/>
      <c r="L4" s="29"/>
    </row>
    <row r="5" spans="1:12" s="7" customFormat="1" ht="100" customHeight="1" x14ac:dyDescent="0.2">
      <c r="A5" s="167">
        <v>1.3</v>
      </c>
      <c r="B5" s="146" t="s">
        <v>18</v>
      </c>
      <c r="C5" s="147" t="s">
        <v>339</v>
      </c>
      <c r="D5" s="153" t="s">
        <v>374</v>
      </c>
      <c r="E5" s="147" t="s">
        <v>19</v>
      </c>
      <c r="F5" s="147" t="s">
        <v>20</v>
      </c>
      <c r="G5" s="147" t="s">
        <v>21</v>
      </c>
      <c r="H5" s="147" t="s">
        <v>344</v>
      </c>
      <c r="I5" s="149" t="s">
        <v>22</v>
      </c>
      <c r="J5" s="162" t="s">
        <v>345</v>
      </c>
      <c r="K5" s="29"/>
      <c r="L5" s="29"/>
    </row>
    <row r="6" spans="1:12" s="7" customFormat="1" ht="100" customHeight="1" x14ac:dyDescent="0.2">
      <c r="A6" s="168">
        <v>1.4</v>
      </c>
      <c r="B6" s="150" t="s">
        <v>378</v>
      </c>
      <c r="C6" s="151" t="s">
        <v>339</v>
      </c>
      <c r="D6" s="153" t="s">
        <v>374</v>
      </c>
      <c r="E6" s="151" t="s">
        <v>23</v>
      </c>
      <c r="F6" s="151" t="s">
        <v>24</v>
      </c>
      <c r="G6" s="151" t="s">
        <v>25</v>
      </c>
      <c r="H6" s="151" t="s">
        <v>346</v>
      </c>
      <c r="I6" s="152" t="s">
        <v>26</v>
      </c>
      <c r="J6" s="163" t="s">
        <v>345</v>
      </c>
      <c r="K6" s="29"/>
      <c r="L6" s="29"/>
    </row>
    <row r="7" spans="1:12" s="7" customFormat="1" ht="100" customHeight="1" x14ac:dyDescent="0.2">
      <c r="A7" s="167">
        <v>1.5</v>
      </c>
      <c r="B7" s="146" t="s">
        <v>379</v>
      </c>
      <c r="C7" s="147" t="s">
        <v>339</v>
      </c>
      <c r="D7" s="153" t="s">
        <v>374</v>
      </c>
      <c r="E7" s="147" t="s">
        <v>23</v>
      </c>
      <c r="F7" s="147" t="s">
        <v>27</v>
      </c>
      <c r="G7" s="147" t="s">
        <v>28</v>
      </c>
      <c r="H7" s="147" t="s">
        <v>347</v>
      </c>
      <c r="I7" s="149" t="s">
        <v>29</v>
      </c>
      <c r="J7" s="164" t="s">
        <v>345</v>
      </c>
      <c r="K7" s="29"/>
      <c r="L7" s="29"/>
    </row>
    <row r="8" spans="1:12" s="7" customFormat="1" ht="100" customHeight="1" x14ac:dyDescent="0.2">
      <c r="A8" s="168">
        <v>2.1</v>
      </c>
      <c r="B8" s="150" t="s">
        <v>380</v>
      </c>
      <c r="C8" s="151" t="s">
        <v>348</v>
      </c>
      <c r="D8" s="153" t="s">
        <v>374</v>
      </c>
      <c r="E8" s="151" t="s">
        <v>30</v>
      </c>
      <c r="F8" s="151" t="s">
        <v>31</v>
      </c>
      <c r="G8" s="151" t="s">
        <v>32</v>
      </c>
      <c r="H8" s="151" t="s">
        <v>349</v>
      </c>
      <c r="I8" s="152" t="s">
        <v>33</v>
      </c>
      <c r="J8" s="163" t="s">
        <v>350</v>
      </c>
      <c r="K8" s="29"/>
      <c r="L8" s="29"/>
    </row>
    <row r="9" spans="1:12" s="7" customFormat="1" ht="100" customHeight="1" x14ac:dyDescent="0.2">
      <c r="A9" s="167">
        <v>2.2000000000000002</v>
      </c>
      <c r="B9" s="146" t="s">
        <v>420</v>
      </c>
      <c r="C9" s="147" t="s">
        <v>348</v>
      </c>
      <c r="D9" s="154" t="s">
        <v>351</v>
      </c>
      <c r="E9" s="147" t="s">
        <v>35</v>
      </c>
      <c r="F9" s="147" t="s">
        <v>36</v>
      </c>
      <c r="G9" s="147" t="s">
        <v>37</v>
      </c>
      <c r="H9" s="147" t="s">
        <v>352</v>
      </c>
      <c r="I9" s="149" t="s">
        <v>38</v>
      </c>
      <c r="J9" s="162" t="s">
        <v>342</v>
      </c>
      <c r="K9" s="29"/>
    </row>
    <row r="10" spans="1:12" s="7" customFormat="1" ht="100" customHeight="1" x14ac:dyDescent="0.2">
      <c r="A10" s="168">
        <v>2.2999999999999998</v>
      </c>
      <c r="B10" s="146" t="s">
        <v>382</v>
      </c>
      <c r="C10" s="151" t="s">
        <v>348</v>
      </c>
      <c r="D10" s="154" t="s">
        <v>351</v>
      </c>
      <c r="E10" s="151" t="s">
        <v>39</v>
      </c>
      <c r="F10" s="151" t="s">
        <v>40</v>
      </c>
      <c r="G10" s="151" t="s">
        <v>41</v>
      </c>
      <c r="H10" s="151" t="s">
        <v>353</v>
      </c>
      <c r="I10" s="152" t="s">
        <v>42</v>
      </c>
      <c r="J10" s="163" t="s">
        <v>342</v>
      </c>
      <c r="K10" s="29"/>
    </row>
    <row r="11" spans="1:12" s="7" customFormat="1" ht="100" customHeight="1" x14ac:dyDescent="0.2">
      <c r="A11" s="167">
        <v>2.4</v>
      </c>
      <c r="B11" s="146" t="s">
        <v>43</v>
      </c>
      <c r="C11" s="147" t="s">
        <v>348</v>
      </c>
      <c r="D11" s="153" t="s">
        <v>374</v>
      </c>
      <c r="E11" s="147" t="s">
        <v>354</v>
      </c>
      <c r="F11" s="147" t="s">
        <v>44</v>
      </c>
      <c r="G11" s="147" t="s">
        <v>45</v>
      </c>
      <c r="H11" s="147" t="s">
        <v>355</v>
      </c>
      <c r="I11" s="149" t="s">
        <v>356</v>
      </c>
      <c r="J11" s="162" t="s">
        <v>342</v>
      </c>
      <c r="K11" s="29"/>
    </row>
    <row r="12" spans="1:12" s="7" customFormat="1" ht="100" customHeight="1" x14ac:dyDescent="0.2">
      <c r="A12" s="168">
        <v>2.5</v>
      </c>
      <c r="B12" s="150" t="s">
        <v>46</v>
      </c>
      <c r="C12" s="151" t="s">
        <v>348</v>
      </c>
      <c r="D12" s="154" t="s">
        <v>351</v>
      </c>
      <c r="E12" s="151" t="s">
        <v>47</v>
      </c>
      <c r="F12" s="151" t="s">
        <v>48</v>
      </c>
      <c r="G12" s="151" t="s">
        <v>49</v>
      </c>
      <c r="H12" s="151" t="s">
        <v>357</v>
      </c>
      <c r="I12" s="152" t="s">
        <v>50</v>
      </c>
      <c r="J12" s="163" t="s">
        <v>350</v>
      </c>
      <c r="K12" s="29"/>
    </row>
    <row r="13" spans="1:12" s="7" customFormat="1" ht="100" customHeight="1" x14ac:dyDescent="0.2">
      <c r="A13" s="167">
        <v>2.6</v>
      </c>
      <c r="B13" s="146" t="s">
        <v>51</v>
      </c>
      <c r="C13" s="147" t="s">
        <v>348</v>
      </c>
      <c r="D13" s="154" t="s">
        <v>351</v>
      </c>
      <c r="E13" s="147" t="s">
        <v>19</v>
      </c>
      <c r="F13" s="147" t="s">
        <v>52</v>
      </c>
      <c r="G13" s="147" t="s">
        <v>53</v>
      </c>
      <c r="H13" s="147" t="s">
        <v>358</v>
      </c>
      <c r="I13" s="149" t="s">
        <v>54</v>
      </c>
      <c r="J13" s="162" t="s">
        <v>345</v>
      </c>
      <c r="K13" s="29"/>
    </row>
    <row r="14" spans="1:12" s="7" customFormat="1" ht="100" customHeight="1" x14ac:dyDescent="0.2">
      <c r="A14" s="168">
        <v>2.7</v>
      </c>
      <c r="B14" s="150" t="s">
        <v>55</v>
      </c>
      <c r="C14" s="151" t="s">
        <v>348</v>
      </c>
      <c r="D14" s="153" t="s">
        <v>374</v>
      </c>
      <c r="E14" s="151" t="s">
        <v>56</v>
      </c>
      <c r="F14" s="151" t="s">
        <v>57</v>
      </c>
      <c r="G14" s="151" t="s">
        <v>58</v>
      </c>
      <c r="H14" s="151" t="s">
        <v>359</v>
      </c>
      <c r="I14" s="152" t="s">
        <v>59</v>
      </c>
      <c r="J14" s="163" t="s">
        <v>345</v>
      </c>
      <c r="K14" s="29"/>
    </row>
    <row r="15" spans="1:12" s="7" customFormat="1" ht="100" customHeight="1" x14ac:dyDescent="0.2">
      <c r="A15" s="167">
        <v>2.8</v>
      </c>
      <c r="B15" s="146" t="s">
        <v>60</v>
      </c>
      <c r="C15" s="147" t="s">
        <v>348</v>
      </c>
      <c r="D15" s="153" t="s">
        <v>374</v>
      </c>
      <c r="E15" s="147" t="s">
        <v>330</v>
      </c>
      <c r="F15" s="147" t="s">
        <v>332</v>
      </c>
      <c r="G15" s="147" t="s">
        <v>333</v>
      </c>
      <c r="H15" s="147" t="s">
        <v>373</v>
      </c>
      <c r="I15" s="149" t="s">
        <v>432</v>
      </c>
      <c r="J15" s="162" t="s">
        <v>345</v>
      </c>
      <c r="K15" s="29"/>
    </row>
    <row r="16" spans="1:12" s="7" customFormat="1" ht="100" customHeight="1" x14ac:dyDescent="0.2">
      <c r="A16" s="168">
        <v>3.1</v>
      </c>
      <c r="B16" s="151" t="s">
        <v>383</v>
      </c>
      <c r="C16" s="151" t="s">
        <v>434</v>
      </c>
      <c r="D16" s="153" t="s">
        <v>374</v>
      </c>
      <c r="E16" s="151" t="s">
        <v>424</v>
      </c>
      <c r="F16" s="151" t="s">
        <v>423</v>
      </c>
      <c r="G16" s="151" t="s">
        <v>429</v>
      </c>
      <c r="H16" s="151" t="s">
        <v>430</v>
      </c>
      <c r="I16" s="152" t="s">
        <v>431</v>
      </c>
      <c r="J16" s="163" t="s">
        <v>350</v>
      </c>
      <c r="K16" s="29"/>
    </row>
    <row r="17" spans="1:11" s="7" customFormat="1" ht="100" customHeight="1" x14ac:dyDescent="0.2">
      <c r="A17" s="167">
        <v>4.0999999999999996</v>
      </c>
      <c r="B17" s="147" t="s">
        <v>421</v>
      </c>
      <c r="C17" s="147" t="s">
        <v>435</v>
      </c>
      <c r="D17" s="148" t="s">
        <v>340</v>
      </c>
      <c r="E17" s="147" t="s">
        <v>61</v>
      </c>
      <c r="F17" s="147" t="s">
        <v>425</v>
      </c>
      <c r="G17" s="147" t="s">
        <v>426</v>
      </c>
      <c r="H17" s="147" t="s">
        <v>427</v>
      </c>
      <c r="I17" s="149" t="s">
        <v>428</v>
      </c>
      <c r="J17" s="162" t="s">
        <v>342</v>
      </c>
      <c r="K17" s="29"/>
    </row>
    <row r="18" spans="1:11" s="7" customFormat="1" ht="100" customHeight="1" x14ac:dyDescent="0.2">
      <c r="A18" s="168">
        <v>5.0999999999999996</v>
      </c>
      <c r="B18" s="155" t="s">
        <v>66</v>
      </c>
      <c r="C18" s="156" t="s">
        <v>436</v>
      </c>
      <c r="D18" s="153" t="s">
        <v>374</v>
      </c>
      <c r="E18" s="156" t="s">
        <v>67</v>
      </c>
      <c r="F18" s="156" t="s">
        <v>68</v>
      </c>
      <c r="G18" s="156" t="s">
        <v>69</v>
      </c>
      <c r="H18" s="156" t="s">
        <v>360</v>
      </c>
      <c r="I18" s="157" t="s">
        <v>70</v>
      </c>
      <c r="J18" s="165" t="s">
        <v>345</v>
      </c>
      <c r="K18" s="29"/>
    </row>
    <row r="19" spans="1:11" s="7" customFormat="1" ht="100" customHeight="1" x14ac:dyDescent="0.2">
      <c r="A19" s="169" t="s">
        <v>422</v>
      </c>
      <c r="B19" s="147" t="s">
        <v>71</v>
      </c>
      <c r="C19" s="147" t="s">
        <v>433</v>
      </c>
      <c r="D19" s="153" t="s">
        <v>374</v>
      </c>
      <c r="E19" s="147" t="s">
        <v>72</v>
      </c>
      <c r="F19" s="147" t="s">
        <v>73</v>
      </c>
      <c r="G19" s="147" t="s">
        <v>74</v>
      </c>
      <c r="H19" s="147" t="s">
        <v>361</v>
      </c>
      <c r="I19" s="147" t="s">
        <v>75</v>
      </c>
      <c r="J19" s="166" t="s">
        <v>345</v>
      </c>
      <c r="K19" s="29"/>
    </row>
    <row r="20" spans="1:11" s="7" customFormat="1" ht="100" customHeight="1" x14ac:dyDescent="0.2">
      <c r="A20" s="170" t="s">
        <v>76</v>
      </c>
      <c r="B20" s="158" t="s">
        <v>77</v>
      </c>
      <c r="C20" s="158" t="s">
        <v>442</v>
      </c>
      <c r="D20" s="159" t="s">
        <v>351</v>
      </c>
      <c r="E20" s="158" t="s">
        <v>79</v>
      </c>
      <c r="F20" s="158" t="s">
        <v>80</v>
      </c>
      <c r="G20" s="158" t="s">
        <v>81</v>
      </c>
      <c r="H20" s="158" t="s">
        <v>362</v>
      </c>
      <c r="I20" s="160" t="s">
        <v>82</v>
      </c>
      <c r="J20" s="165" t="s">
        <v>342</v>
      </c>
      <c r="K20" s="29"/>
    </row>
    <row r="21" spans="1:11" s="7" customFormat="1" ht="100" customHeight="1" x14ac:dyDescent="0.2">
      <c r="A21" s="169" t="s">
        <v>83</v>
      </c>
      <c r="B21" s="147" t="s">
        <v>84</v>
      </c>
      <c r="C21" s="147" t="s">
        <v>442</v>
      </c>
      <c r="D21" s="161" t="s">
        <v>351</v>
      </c>
      <c r="E21" s="147" t="s">
        <v>85</v>
      </c>
      <c r="F21" s="147" t="s">
        <v>86</v>
      </c>
      <c r="G21" s="147" t="s">
        <v>87</v>
      </c>
      <c r="H21" s="147" t="s">
        <v>363</v>
      </c>
      <c r="I21" s="147" t="s">
        <v>88</v>
      </c>
      <c r="J21" s="166" t="s">
        <v>342</v>
      </c>
      <c r="K21" s="29"/>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Props1.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3.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2026-03-16T03:52:48Z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