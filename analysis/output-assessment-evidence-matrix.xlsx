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filterPrivacy="1" defaultThemeVersion="166925"/>
  <xr:revisionPtr revIDLastSave="0" documentId="13_ncr:1_{0B200AAB-921D-3546-84ED-68247A469DAD}" xr6:coauthVersionLast="47" xr6:coauthVersionMax="47" xr10:uidLastSave="{00000000-0000-0000-0000-000000000000}"/>
  <bookViews>
    <workbookView xWindow="0" yWindow="0" windowWidth="38400" windowHeight="21600" xr2:uid="{51658058-8315-A640-B733-1DFC39D6EEC8}"/>
  </bookViews>
  <sheets>
    <sheet name="README" sheetId="9" r:id="rId1"/>
    <sheet name="Summary" sheetId="2" r:id="rId2"/>
    <sheet name="Methodology" sheetId="3" r:id="rId3"/>
    <sheet name="Rating Criteria" sheetId="10" r:id="rId4"/>
    <sheet name="Evidence Matrix" sheetId="7" r:id="rId5"/>
    <sheet name="Output Assessment" sheetId="5" r:id="rId6"/>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2" l="1"/>
  <c r="E10" i="2"/>
  <c r="B27" i="2"/>
  <c r="E11" i="2"/>
  <c r="E12" i="2"/>
  <c r="E16" i="2"/>
  <c r="E17" i="2"/>
  <c r="D17" i="2"/>
  <c r="C17" i="2"/>
  <c r="B17" i="2"/>
  <c r="B7" i="2"/>
  <c r="C4" i="2"/>
  <c r="C5" i="2"/>
  <c r="C6" i="2"/>
  <c r="C7" i="2"/>
</calcChain>
</file>

<file path=xl/sharedStrings.xml><?xml version="1.0" encoding="utf-8"?>
<sst xmlns="http://schemas.openxmlformats.org/spreadsheetml/2006/main" count="687" uniqueCount="516">
  <si>
    <t>Output ID</t>
  </si>
  <si>
    <t>Status</t>
  </si>
  <si>
    <t>Rating (1-5)</t>
  </si>
  <si>
    <t>Evidence Sources</t>
  </si>
  <si>
    <t>Findings</t>
  </si>
  <si>
    <t>Documentation Gaps</t>
  </si>
  <si>
    <t>Key References</t>
  </si>
  <si>
    <t>Enhanced reporting of AEFI</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</si>
  <si>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</si>
  <si>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</si>
  <si>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</si>
  <si>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</si>
  <si>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</si>
  <si>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</si>
  <si>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</si>
  <si>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</si>
  <si>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</si>
  <si>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</si>
  <si>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</si>
  <si>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</si>
  <si>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</si>
  <si>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</si>
  <si>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</si>
  <si>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</si>
  <si>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</si>
  <si>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</si>
  <si>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</si>
  <si>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</si>
  <si>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</si>
  <si>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</si>
  <si>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FOI 3643, FOI 4029-03, OAIC MR22/00538 searches</t>
  </si>
  <si>
    <t>List of AESI (Adverse Events of Special Interest) was used; TGA weekly reports reference monitoring specific conditions</t>
  </si>
  <si>
    <t>No documentation of established expected rates or calculated background rates for AESI; FOI 4029-03 shows PRR/MaxSPRT capacity (Sep 2021) but public reports lack statistical methodology outputs</t>
  </si>
  <si>
    <t>FOI 4029-03 (ACV presentation Sep 2021 shows capability); Surveillance Analysis (expected rates used without methodology); OAIC searches found no background rate documentation</t>
  </si>
  <si>
    <t>Not Documented</t>
  </si>
  <si>
    <t>OAIC comprehensive searches: zero COVID-19 vaccine specific investigation protocols found; TGA characterised monitoring as 'day-to-day processes' (Senate Oct 2025)</t>
  </si>
  <si>
    <t>No specific investigation protocols for COVID-19 vaccines documented; no COVID-specific SOPs located; no documented methodology for how 148 signals were investigated</t>
  </si>
  <si>
    <t>OAIC Decision AICmr 54 (searches found no protocols); Senate Hansard 9 Oct 2025 ('day-to-day processes'); Surveillance Analysis (148 signals investigated but no published investigation protocols)</t>
  </si>
  <si>
    <t>FOI 3643, FOI 25-0166, FOI 4029-03, OAIC MR22/00538 searches, FOI 5275</t>
  </si>
  <si>
    <t>Zero documentation of refined cumulative review processes in public reports; no statistical methodologies published; no subpopulation analysis frameworks documented; no AIR-denominator outputs in public reports despite ACV presentation</t>
  </si>
  <si>
    <t>Active surveillance (AusVaxSafety)</t>
  </si>
  <si>
    <t>Clinical studies and reports</t>
  </si>
  <si>
    <t>FOI 3643, FOI 25-0166, FOI 5275, OAIC MR22/00538 searches</t>
  </si>
  <si>
    <t>OAIC searches: zero documentation of new processes for analysing sponsor-submitted reports; FOI 5275 corroborates absence</t>
  </si>
  <si>
    <t>No documented processes for analysing clinical studies/reports from sponsors; no evidence of enhanced review protocols for COVID vaccine sponsor submissions</t>
  </si>
  <si>
    <t>OAIC Decision AICmr 54 (no documentation found); FOI 5275 (independent applicant, corroborating gaps); OAIC MR22/00538 submission (searches found zero processes)</t>
  </si>
  <si>
    <t>Environmental scanning</t>
  </si>
  <si>
    <t>OAIC searches: no documented processes for systematic environmental scanning activities identified</t>
  </si>
  <si>
    <t>No documented systematic environmental scanning processes; no evidence of formal literature review protocols or regulatory intelligence gathering frameworks</t>
  </si>
  <si>
    <t>OAIC Decision AICmr 54 (no processes found); OAIC MR22/00538 submission (comprehensive searches found no scanning protocols)</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</si>
  <si>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</si>
  <si>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</si>
  <si>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</si>
  <si>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</si>
  <si>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</si>
  <si>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</si>
  <si>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</si>
  <si>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</si>
  <si>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</si>
  <si>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</si>
  <si>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t>
  </si>
  <si>
    <t>National 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</si>
  <si>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</si>
  <si>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</si>
  <si>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</si>
  <si>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</si>
  <si>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</si>
  <si>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</si>
  <si>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</si>
  <si>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</si>
  <si>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</si>
  <si>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</si>
  <si>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</si>
  <si>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</si>
  <si>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Senate testimony (9 Oct 2025): TGA admits monitoring 'never systematically tracked' against Plan; OAIC searches: zero governance documentation found</t>
  </si>
  <si>
    <t>No oversight committees documented; no progress reports identified; no performance metrics tracking against Plan outputs; no evidence of Plan-level governance</t>
  </si>
  <si>
    <t>Senate Hansard 9 Oct 2025 ('day-to-day processes never systematically tracked'); OAIC Decision AICmr 54; OAIC MR22/00538 (531 containers, zero governance docs); FOI 3643 (Feb 2022: 'no implementation report exists')</t>
  </si>
  <si>
    <t>GOV.2</t>
  </si>
  <si>
    <t>Performance measurement</t>
  </si>
  <si>
    <t>FOI 3643, FOI 25-0166, OAIC MR22/00538 searches, Senate testimony Oct 2025, Surveillance Analysis (150+ reports)</t>
  </si>
  <si>
    <t>Senate testimony confirms absence; FOI 3643 (Feb 2022) Kay email: 'no implementation report'; Surveillance Analysis: 150+ reports contain zero Plan references or output tracking</t>
  </si>
  <si>
    <t>Senate Hansard 9 Oct 2025; FOI 3643 Kay email 23 Feb 2022 ('no implementation report... entering phase of reviewing'); Surveillance Analysis (zero Plan references across 150+ reports); OAIC searches found zero performance tracking</t>
  </si>
  <si>
    <t>Assessment Evidence Matrix - Summary Dashboard</t>
  </si>
  <si>
    <t>OVERALL STATUS SUMMARY</t>
  </si>
  <si>
    <t>Count</t>
  </si>
  <si>
    <t>Percentage</t>
  </si>
  <si>
    <t>TOTAL</t>
  </si>
  <si>
    <t>STATUS BY OBJECTIVE</t>
  </si>
  <si>
    <t>Total</t>
  </si>
  <si>
    <t>RATING BY OBJECTIVE</t>
  </si>
  <si>
    <t>Avg Rating</t>
  </si>
  <si>
    <t>Min</t>
  </si>
  <si>
    <t>Max</t>
  </si>
  <si>
    <t>OVERALL</t>
  </si>
  <si>
    <t>Overview</t>
  </si>
  <si>
    <t>This audit operates within defined methodological boundaries consistent with ISO 19011:2018 (management systems auditing), ANAO performance audit methodology, and OSINT best practice.</t>
  </si>
  <si>
    <t>Complete Methodology: ISO 19011 Management Systems Audit</t>
  </si>
  <si>
    <t>Key Assumptions</t>
  </si>
  <si>
    <t>Assumption</t>
  </si>
  <si>
    <t>Basis</t>
  </si>
  <si>
    <t>Properly implemented government policies should be documented</t>
  </si>
  <si>
    <t>Commonwealth accountability frameworks require documented evidence of performance (PGPA Act 2013 s37, Archives Act 1983)</t>
  </si>
  <si>
    <t>FOI Act provides adequate access to government records</t>
  </si>
  <si>
    <t>Freedom of Information Act 1982 establishes statutory right to access government documents; OAIC provides independent oversight of FOI processes</t>
  </si>
  <si>
    <t>TGA's OAIC-directed searches were comprehensive</t>
  </si>
  <si>
    <t>Senate testimony under parliamentary privilege is reliable</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</si>
  <si>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</si>
  <si>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</si>
  <si>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</si>
  <si>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</si>
  <si>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</si>
  <si>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</si>
  <si>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</si>
  <si>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</si>
  <si>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</si>
  <si>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</si>
  <si>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</si>
  <si>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</si>
  <si>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</si>
  <si>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</si>
  <si>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</si>
  <si>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</si>
  <si>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</si>
  <si>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</si>
  <si>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</si>
  <si>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</si>
  <si>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</si>
  <si>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</si>
  <si>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</si>
  <si>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</si>
  <si>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</si>
  <si>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</si>
  <si>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</si>
  <si>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</si>
  <si>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Cannot verify completeness of TGA's internal searches beyond OAIC-directed processes</t>
  </si>
  <si>
    <t>Reliant on TGA's representation that comprehensive searches conducted; OAIC validation provides independent assurance</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</si>
  <si>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</si>
  <si>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</si>
  <si>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</si>
  <si>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</si>
  <si>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</si>
  <si>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</si>
  <si>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</si>
  <si>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</si>
  <si>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</si>
  <si>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</si>
  <si>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</si>
  <si>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</si>
  <si>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</si>
  <si>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</si>
  <si>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</si>
  <si>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</si>
  <si>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</si>
  <si>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</si>
  <si>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</si>
  <si>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</si>
  <si>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</si>
  <si>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</si>
  <si>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</si>
  <si>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</si>
  <si>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</si>
  <si>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</si>
  <si>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</si>
  <si>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</si>
  <si>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</si>
  <si>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</si>
  <si>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</si>
  <si>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</si>
  <si>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</si>
  <si>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</si>
  <si>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</si>
  <si>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</si>
  <si>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</si>
  <si>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3. OAIC-Validated Searches</t>
  </si>
  <si>
    <t>TGA's comprehensive searches under OAIC statutory direction: 531+ TRIM containers (September 2024), 2,218+ pages reviewed and classified by Plan objectives, independent oversight body validation</t>
  </si>
  <si>
    <t>Highest - TGA's own assessment of what documentation exists under statutory obligation</t>
  </si>
  <si>
    <t>Cannot verify documents TGA claims don't exist; reliant on search methodology adequacy</t>
  </si>
  <si>
    <t>4. Senate Testimony Under Privilege</t>
  </si>
  <si>
    <t>Official statements by TGA senior officials under parliamentary privilege (9 October 2025), direct admissions regarding Plan implementation and tracking</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</si>
  <si>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</si>
  <si>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</si>
  <si>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</si>
  <si>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High - independent third-party validation of findings</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</si>
  <si>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</si>
  <si>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</si>
  <si>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</si>
  <si>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</si>
  <si>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</si>
  <si>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</si>
  <si>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</si>
  <si>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</si>
  <si>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t>Burden of Proof</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</si>
  <si>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</si>
  <si>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</si>
  <si>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</si>
  <si>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</si>
  <si>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</si>
  <si>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t>METHODOLOGY</t>
  </si>
  <si>
    <t>Output Implementation Rating Criteria</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</si>
  <si>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</si>
  <si>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</si>
  <si>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</si>
  <si>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</si>
  <si>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</si>
  <si>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</si>
  <si>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</si>
  <si>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</si>
  <si>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</si>
  <si>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t>Partially Implemented</t>
  </si>
  <si>
    <t>◐</t>
  </si>
  <si>
    <t>Substantial activity occurred demonstrating operational delivery, but systematic protocols, integration frameworks, or governance documentation not evidenced</t>
  </si>
  <si>
    <t>(1) Clear evidence of activity/outputs (data collected, processes occurred), BUT (2) Enhanced protocols/frameworks not documented, OR (3) Integration between systems not evidenced, OR (4) Cannot distinguish "enhanced" from routine processes</t>
  </si>
  <si>
    <t>✗</t>
  </si>
  <si>
    <t>Zero documentation found despite comprehensive searches; TGA's own OAIC-directed searches located no evidence of implementation</t>
  </si>
  <si>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</si>
  <si>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</si>
  <si>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</si>
  <si>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</si>
  <si>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</si>
  <si>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</si>
  <si>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Distinguishes between operational delivery (which clearly happened: 140K reports, 6.8M surveys, 148 signals) and systematic implementation of Plan's enhanced framework (which cannot be verified through documentation)</t>
  </si>
  <si>
    <t>Deliverable vs Process</t>
  </si>
  <si>
    <t>Outputs producing public DELIVERABLES (forms, reports, communications) rated "Fully" if deliverables exist; outputs requiring systematic PROCESSES (protocols, integration, governance) require documentation of those processes</t>
  </si>
  <si>
    <t>Routine vs Enhanced</t>
  </si>
  <si>
    <t>Plan committed to ENHANCED monitoring beyond business-as-usual; "Partially" assigned when cannot distinguish enhanced processes from routine pharmacovigilance</t>
  </si>
  <si>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</si>
  <si>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</si>
  <si>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</si>
  <si>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</si>
  <si>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</si>
  <si>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</si>
  <si>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</si>
  <si>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</si>
  <si>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</si>
  <si>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</si>
  <si>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</si>
  <si>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</si>
  <si>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</si>
  <si>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</si>
  <si>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</si>
  <si>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</si>
  <si>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</si>
  <si>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</si>
  <si>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</si>
  <si>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</si>
  <si>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</si>
  <si>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</si>
  <si>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</si>
  <si>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</si>
  <si>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</si>
  <si>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</si>
  <si>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t>Published materials exist and are accessible (website content, reports, media releases)</t>
  </si>
  <si>
    <t>Materials exist but some gaps in systematic delivery or framework</t>
  </si>
  <si>
    <t>No public communications or materials found</t>
  </si>
  <si>
    <t>Deliverable exists, publicly available, fit for purpose</t>
  </si>
  <si>
    <t>Deliverable exists but limitations/gaps identified</t>
  </si>
  <si>
    <t>Deliverable does not exist or not accessible</t>
  </si>
  <si>
    <t>Documented protocols/SOPs/frameworks exist showing systematic approach distinct from routine</t>
  </si>
  <si>
    <t>Activity evidence exists but protocols/frameworks not documented</t>
  </si>
  <si>
    <t>Zero protocols/frameworks found; comprehensive searches negative</t>
  </si>
  <si>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</si>
  <si>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</si>
  <si>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</si>
  <si>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t>Oversight committees documented, performance metrics tracked, progress reports exist</t>
  </si>
  <si>
    <t>Some governance elements exist but systematic tracking absent</t>
  </si>
  <si>
    <t>Zero governance documentation; admitted "never systematically tracked"</t>
  </si>
  <si>
    <t>Falsifiability Principle</t>
  </si>
  <si>
    <t>All ratings are falsifiable through document production:</t>
  </si>
  <si>
    <t>Rating Changes Possible:</t>
  </si>
  <si>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</si>
  <si>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</si>
  <si>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</si>
  <si>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</si>
  <si>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</si>
  <si>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</si>
  <si>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</si>
  <si>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</si>
  <si>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</si>
  <si>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</si>
  <si>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</si>
  <si>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</si>
  <si>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</si>
  <si>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</si>
  <si>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</si>
  <si>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</si>
  <si>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</si>
  <si>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</si>
  <si>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</si>
  <si>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</si>
  <si>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No documented bridge between 6.8M surveys and 148 TGA signals</t>
  </si>
  <si>
    <t>Example 3: Not Documented (✗)</t>
  </si>
  <si>
    <t>Output GOV.1 - Implementation oversight</t>
  </si>
  <si>
    <t>Evidence Searched:</t>
  </si>
  <si>
    <t>FOI 3643, FOI 25-0166</t>
  </si>
  <si>
    <t>Findings:</t>
  </si>
  <si>
    <t>Senate testimony: TGA admits monitoring 'never systematically tracked' against Plan</t>
  </si>
  <si>
    <t>OAIC searches: zero governance documentation found</t>
  </si>
  <si>
    <t>No oversight committees documented</t>
  </si>
  <si>
    <t>No progress reports identified</t>
  </si>
  <si>
    <t>No performance metrics tracking against Plan outputs</t>
  </si>
  <si>
    <t>FOI 3643, FOI 4029-03, FOI 4029-05, OAIC MR22/00538 searches, ACV meeting statements</t>
  </si>
  <si>
    <t>FOI 4029-03 (ACV received Strategy 2.3 Sep 2021); FOI 4029-05 (VSIG operational, child deaths not referred); ACV Meeting Statements (published); Senate testimony (TGA "burn out" claim); OAIC MR22/00538 ('unable to meaningfully interpret' Objective 5 for advisory searches)</t>
  </si>
  <si>
    <t>Advisory Committee on Vaccines (ACV) existed and met regularly; FOI 4029-03 shows ACV received Strategy 2.3 presentation (Sep 2021); ACV meeting statements published; FOI 4029-05 shows Vaccine Safety Investigation Group (VSIG) operational during child death cases</t>
  </si>
  <si>
    <t>No documentation of standing COVID-19-specific advisory committee; no evidence of paediatric advisory group convening; VSIG operational (FOI 4029-05) but child deaths not referred for expert review despite mechanism existing; TGA "burn out" testimony contradicted by FOI evidence showing VSIG operational; OAIC searches noted Objective 5 'unable to meaningfully interpret' for advisory committee searches</t>
  </si>
  <si>
    <t>Plan Objective</t>
  </si>
  <si>
    <t>Evidence Sources Checked</t>
  </si>
  <si>
    <t>What Was Found</t>
  </si>
  <si>
    <t>Rating Justification</t>
  </si>
  <si>
    <t>Severity</t>
  </si>
  <si>
    <t>Timely collection and management of AEFI (Objective 1)</t>
  </si>
  <si>
    <t>✓ Fully Implemented</t>
  </si>
  <si>
    <t>Output 1.1 is about public communication and reporting pathways (not internal processes). Website content exists, advertising documented, weekly reports published. This is COMMUNICATION OUTPUT fully delivered.</t>
  </si>
  <si>
    <t>⭐⭐⭐⭐⭐</t>
  </si>
  <si>
    <t>Forms were updated with COVID-19 fields and made publicly available. This is DELIVERABLE OUTPUT (forms exist). Internal processes for how forms processed is separate question (Output 1.4/1.5).</t>
  </si>
  <si>
    <t>Activity clearly occurred (state data appears in reports) but SYSTEMATIC PROTOCOLS for sharing not documented. Plan committed to 'criteria and processes' - these not evidenced. Rating: Partial because sharing happened but formal framework not documented.</t>
  </si>
  <si>
    <t>⭐⭐⭐</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</si>
  <si>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</si>
  <si>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</si>
  <si>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Proactive signal identification and assessment (Objective 2)</t>
  </si>
  <si>
    <t>AESI list existed (good) but Plan committed to 'understanding safety profiles' including expected/background rates. These rates calculations not documented in accessible form. FOI 4029-03 proves capacity but outputs not published.</t>
  </si>
  <si>
    <t>⭐⭐⭐⭐</t>
  </si>
  <si>
    <t>✗ Not Documented</t>
  </si>
  <si>
    <t>International engagement occurred (ICMRA co-chair documented) but SYSTEMATIC PROCESSES for information sharing not documented. Plan committed to processes - these not evidenced. Activity happened but framework not documented.</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</si>
  <si>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</si>
  <si>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</si>
  <si>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t>
  </si>
  <si>
    <t>The finding is absence of verifiable evidence, not evidence of absence. This audit cannot prove enhanced monitoring did not occur internally within TGA, but demonstrates it cannot be verified through accessible Commonwealth records—and that verification gap constitutes the accountability problem under Australia's public sector governance framework.</t>
  </si>
  <si>
    <t>RATING CRITERIA</t>
  </si>
  <si>
    <t>Output 1.1: Enhanced AEFI reporting information published on TGA website + 150+ safety reports published. Output 1.2: Updated AEFI forms with COVID-19 fields publicly available. Output 3.1: 150+ public safety reports + media releases demonstrating systematic public communication.</t>
  </si>
  <si>
    <t>Output 2.4: AusVaxSafety operated effectively (6.8M surveys) but no TGA coordination protocols documented. Output 1.4: 140K+ DAEN reports processed but no documentation of "enhanced" database preparation beyond routine capabilities. Output 4.1: Multiple data sources accessed but no systematic integration methodology documented.</t>
  </si>
  <si>
    <t>Why Partially: Massive active surveillance activity (6.8M surveys) demonstrating AusVaxSafety delivery. BUT Plan committed TGA to 'collaborate with AusVaxSafety' - collaboration PROTOCOLS not documented. No audit trail from surveys to TGA signals. Systems parallel not integrated.</t>
  </si>
  <si>
    <t>Data Input by Plan Objective</t>
  </si>
  <si>
    <t>Expert committees existed and functioned (ACV meetings documented, FOI 4029-03 shows engagement, VSIG operational per FOI 4029-05). BUT Plan committed to COVID-specific advisory arrangements including paediatric expertise - these not documented as distinct from routine ACV processes. Critical gap: FOI 4029-05 shows VSIG operational when child deaths occurred but deaths not referred for expert review; contradicts TGA Senate testimony claiming "burn out" prevented expert review when mechanism was actually operational. Demonstrates available expert processes not systematically utilised.</t>
  </si>
  <si>
    <t>◐ Partially Implemented</t>
  </si>
  <si>
    <t>TGA COVID-19 Vaccine Safety Plan - Evidence Matrix</t>
  </si>
  <si>
    <r>
      <t>Audit Framework:</t>
    </r>
    <r>
      <rPr>
        <sz val="11"/>
        <color theme="1"/>
        <rFont val="Calibri"/>
        <family val="2"/>
        <scheme val="minor"/>
      </rPr>
      <t xml:space="preserve"> ISO 19011:2018, ANAO Performance Audit Methodology, OSINT Best Practice</t>
    </r>
  </si>
  <si>
    <r>
      <t>Complete Documentation:</t>
    </r>
    <r>
      <rPr>
        <sz val="11"/>
        <color theme="1"/>
        <rFont val="Calibri"/>
        <family val="2"/>
        <scheme val="minor"/>
      </rPr>
      <t xml:space="preserve"> https://github.com/paulrekaris/TGA-COVID19-Vaccine-Safety-Monitoring-Audit</t>
    </r>
  </si>
  <si>
    <t>Enhanced AEFI data collection and management capabilities </t>
  </si>
  <si>
    <t>Enhanced AEFI report escalation processes</t>
  </si>
  <si>
    <t>Understanding COVID-19 vaccine safety profiles </t>
  </si>
  <si>
    <t>Enhanced capacity and capability for investigating individual COVID-19 AEFI reports</t>
  </si>
  <si>
    <t>Enhanced cumulative data reviews for each COVID-19 vaccine </t>
  </si>
  <si>
    <t>Regulatory and programmatic action </t>
  </si>
  <si>
    <t>Communications and media </t>
  </si>
  <si>
    <t>National vaccine safety stakeholder collaborations </t>
  </si>
  <si>
    <t>Plan output</t>
  </si>
  <si>
    <t>Assessment objective</t>
  </si>
  <si>
    <t>Establish systematic oversight mechanisms to track implementation of all 17 Plan outputs across Strategies 1-5</t>
  </si>
  <si>
    <t>Develop performance measurement framework with KPIs to evaluate delivery of Plan outputs and overall program effectiveness</t>
  </si>
  <si>
    <t>Encourage consumers and health professionals to report COVID-19 vaccine AEFI in an appropriate and timely manner</t>
  </si>
  <si>
    <t>Ensure AEFI reporting forms are fit for COVID-19 vaccine purposes ​</t>
  </si>
  <si>
    <t>Ensure the TGA's data processing capabilities meet COVID-19 vaccine AEFI data requirements</t>
  </si>
  <si>
    <t>Understand baseline safety profiles, background adverse event rates and AESI for each COVID-19 vaccine</t>
  </si>
  <si>
    <t>Ensure TGA has capacity to undertake appropriate investigation of COVID-19 AEFI reports</t>
  </si>
  <si>
    <r>
      <t>Enable rapid analysis of AEFI rates to detect emerging COVID-19 safety signals</t>
    </r>
    <r>
      <rPr>
        <sz val="14"/>
        <color theme="1"/>
        <rFont val="Helvetica Neue"/>
        <family val="2"/>
      </rPr>
      <t> ​</t>
    </r>
  </si>
  <si>
    <t>Establish real-time collaboration with COVID-19 active surveillance activities </t>
  </si>
  <si>
    <t>Strengthen processes for receiving new safety information from clinical studies and Safety Summary Reports</t>
  </si>
  <si>
    <t>Strengthen environmental scanning activities for detecting COVID-19 vaccine safety issues </t>
  </si>
  <si>
    <t>Improve mechanisms for sharing COVID-19 safety signals between international regulators </t>
  </si>
  <si>
    <t>Strengthen expert advisory committee capabilities for COVID-19 vaccine safety issues</t>
  </si>
  <si>
    <t>Use legislative provisions to achieve timely regulatory action in response to safety concerns</t>
  </si>
  <si>
    <t xml:space="preserve">Consolidate timely information sharing and collaboration with national stakeholders </t>
  </si>
  <si>
    <r>
      <t>Timely international information sharing on COVID-19 vaccine safety activities</t>
    </r>
    <r>
      <rPr>
        <sz val="14"/>
        <color theme="1"/>
        <rFont val="Helvetica Neue"/>
        <family val="2"/>
      </rPr>
      <t> ​</t>
    </r>
  </si>
  <si>
    <t>Establish systematic oversight mechanisms to track implementation of all 17 Plan outputs</t>
  </si>
  <si>
    <t>Develop performance measurement framework with KPIs to evaluate Plan delivery</t>
  </si>
  <si>
    <t xml:space="preserve">Timely communication messages provided to consumers and health professionals regarding safety monitoring </t>
  </si>
  <si>
    <t>FOI 3643, Senate Hansard Oct 2025, TGA regulatory actions list, 150+ safety reports</t>
  </si>
  <si>
    <t>57 regulatory actions taken (warnings, label changes); weekly reports document safety responses</t>
  </si>
  <si>
    <t>Surveillance Analysis (148 signals; 57 regulatory actions); Senate testimony ("day-to-day processes"); FOI 3643 and OAIC searches (no rapid response protocols)</t>
  </si>
  <si>
    <t xml:space="preserve">Ensure criteria for COVID-19 vaccine report escalation and clinical review are appropriate </t>
  </si>
  <si>
    <t>Ensure COVID-19 AEFI reports are able to be shared between the TGA and state/territory jurisdictions</t>
  </si>
  <si>
    <t>Communications</t>
  </si>
  <si>
    <t>Enhanced AEFI Reporting</t>
  </si>
  <si>
    <t>National Collaborations</t>
  </si>
  <si>
    <t>These definitions establish clear, consistent criteria for assessing each of the 19 Plan outputs across three rating categories.</t>
  </si>
  <si>
    <t>Enhanced capacity and capability for investigating individual COVID-19 AEFI reports </t>
  </si>
  <si>
    <t xml:space="preserve">Communications and media </t>
  </si>
  <si>
    <t>5.2</t>
  </si>
  <si>
    <t>57 regulatory actions taken (warnings, label changes); weekly reports document safety responses.</t>
  </si>
  <si>
    <t xml:space="preserve">FOI 3643, Senate Hansard Oct 2025, TGA regulatory actions list, 150+ safety reports
</t>
  </si>
  <si>
    <t xml:space="preserve">150+ weekly/fortnightly safety reports published March 2021–November 2023; TGA media releases on regulatory actions; public website content; consumer information materials.
</t>
  </si>
  <si>
    <t xml:space="preserve">None – extensive public communication documented.
</t>
  </si>
  <si>
    <t>Output 4.1 is about COMMUNICATION to public and health professionals. 150+ reports published, media engagement documented, website content exists. This is COMMUNICATION OUTPUT fully delivered (distinct from whether communications referenced Plan framework – that is a separate transparency question).</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</si>
  <si>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</si>
  <si>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 FOI 3643 and OAIC searches reveal no rapid response protocols or methodologies</t>
  </si>
  <si>
    <t>Evidence shows partial delivery: 57 regulatory actions (e.g., warnings, label changes) executed, documented in weekly safety reports and TGA lists, Senate Hansard (Oct 2025) confirming responses to 148 signals. However, key gaps prevent "Fully Implemented": No documented framework or protocol for systematic data integration across sources (DAEN vs AusVaxSafety reconciliation absent); Phillips et al (2021) highlights persistent “parallel systems”. Activity occurred but lacks systematic governance/documentation per ISO 19011 (not fully verifiable).</t>
  </si>
  <si>
    <t>Surveillance Analysis (148 signals; 57 regulatory actions);  Senate testimony (“day-to-day processes”); FOI 3643 and OAIC searches (no rapid response protocols).</t>
  </si>
  <si>
    <t>FOI 4029-03 (ACV received Strategy 2.3 Sep 2021); ACV Meeting Statements (published); OAIC MR22/00538 ('unable to meaningfully interpret' Objective 5 for advisory searches). FOI 4029-03 (ACV received Strategy 2.3 Sep 2021); FOI 4029-05 (VSIG operational, child deaths not referred); ACV Meeting Statements (published); Senate testimony (TGA "burn out" claim); OAIC MR22/00538 ('unable to meaningfully interpret' Objective 5 for advisory searches)</t>
  </si>
  <si>
    <t>Use legislative provisions available to achieve effective and timely regulatory action in response to any emerging COVID-19 vaccine safety concerns, as well as any non-regulatory action that may help to address or reduce the risk of a safety concern (Objective 3)</t>
  </si>
  <si>
    <t>Timely communication messages provided to consumers and health professionals regarding safety monitoring (Objective 4)</t>
  </si>
  <si>
    <t>Consolidate timely information sharing, communication and collaboration with national stakeholders on COVID-19 vaccine safety activities and issues (Objective 5)</t>
  </si>
  <si>
    <t>Plan Commitment/strategy</t>
  </si>
  <si>
    <t>Output  ref #</t>
  </si>
  <si>
    <t>International Collaborations</t>
  </si>
  <si>
    <t>FOI 4029-03: TGA presented PRR/MaxSPRT/AIR-denominator methodology to Advisory Committee (Sep 2021); FOI 5275: TGA confirms it does not hold incidence data required by Strategy 2.3 AIR-denominator methodology (Aug 2024)</t>
  </si>
  <si>
    <t>FOI 4029-03 pp.4-6 (PRR≥1/cases≥2, MaxSPRT, AIR-denominator); FOI 5275 (TGA does not hold Strategy 2.3 incidence data); Surveillance Analysis (expected rates without methodology); OAIC searches found no cumulative review documentation</t>
  </si>
  <si>
    <t>⭐</t>
  </si>
  <si>
    <t>TGA COVID-19 Vaccine Safety Monitoring Plan</t>
  </si>
  <si>
    <t>Output Assessment Evidence Matrix</t>
  </si>
  <si>
    <t>Variables</t>
  </si>
  <si>
    <t>Variable</t>
  </si>
  <si>
    <t>Plan output identifier (1.1–GOV.2)</t>
  </si>
  <si>
    <t>Fully Implemented / Partially Implemented / Not Documented</t>
  </si>
  <si>
    <t>1–5 severity rating</t>
  </si>
  <si>
    <t>Primary sources supporting classification</t>
  </si>
  <si>
    <t>Brief narrative finding for the output</t>
  </si>
  <si>
    <t>Identified gaps in the documentary record</t>
  </si>
  <si>
    <t>FOI, OAIC, Senate, and other primary references</t>
  </si>
  <si>
    <t>Methodology and Documentation</t>
  </si>
  <si>
    <t>Repository README</t>
  </si>
  <si>
    <t>github.com/paulrekaris/TGA-COVID19-Vaccine-Safety-Monitoring-Audit#readme</t>
  </si>
  <si>
    <t>Audit framework</t>
  </si>
  <si>
    <t>github.com/paulrekaris/TGA-COVID19-Vaccine-Safety-Monitoring-Audit/blob/main/audit-governance/regulatory-accountability-audit-framework.md</t>
  </si>
  <si>
    <t>ISO 19011 Conformity Assessment</t>
  </si>
  <si>
    <t>github.com/paulrekaris/TGA-COVID19-Vaccine-Safety-Monitoring-Audit/blob/main/analysis/ISO-19011-conformity-assessment-checklist.md</t>
  </si>
  <si>
    <t>Codebook</t>
  </si>
  <si>
    <t>github.com/paulrekaris/TGA-COVID19-Vaccine-Safety-Monitoring-Audit/blob/main/analysis/dataset-codebook.md</t>
  </si>
  <si>
    <t>Replication code (Python/R/Stata)</t>
  </si>
  <si>
    <t>github.com/paulrekaris/TGA-COVID19-Vaccine-Safety-Monitoring-Audit/blob/main/analysis/replication-readme.md</t>
  </si>
  <si>
    <t>Publications and Archive</t>
  </si>
  <si>
    <t>Dataset paper</t>
  </si>
  <si>
    <t>doi.org/10.5281/zenodo.20175557 (Zenodo)   ·   doi.org/10.2139/ssrn.6610438 (SSRN)</t>
  </si>
  <si>
    <t>Audit report</t>
  </si>
  <si>
    <t>doi.org/10.5281/zenodo.17731054 (Zenodo)   ·   doi.org/10.2139/ssrn.6333058 (SSRN)</t>
  </si>
  <si>
    <t>Dataset archive</t>
  </si>
  <si>
    <t>doi.org/10.7910/DVN/BDKZQJ (Harvard Dataverse)   ·   doi.org/10.17632/y5wmt6f8j9 (Mendeley Data)</t>
  </si>
  <si>
    <t>Parliamentary record</t>
  </si>
  <si>
    <t>Cited by name in the Australian Senate, 24 March 2026</t>
  </si>
  <si>
    <t>Hansard</t>
  </si>
  <si>
    <t>Licence and Citation</t>
  </si>
  <si>
    <t>Licence</t>
  </si>
  <si>
    <t>CC BY 4.0 — creativecommons.org/licenses/by/4.0</t>
  </si>
  <si>
    <t>Citation</t>
  </si>
  <si>
    <t>Contact</t>
  </si>
  <si>
    <t>rekasp@protonmail.com</t>
  </si>
  <si>
    <t>Reproducibility and Falsifiability</t>
  </si>
  <si>
    <t>All classifications are reproducible directly from the codebook and replication code. Any classification can be challenged by production of contradicting documentary evidence.</t>
  </si>
  <si>
    <t>Limitations and Falsifiability</t>
  </si>
  <si>
    <t>github.com/paulrekaris/TGA-COVID19-Vaccine-Safety-Monitoring-Audit#limitations-and-falsifiability</t>
  </si>
  <si>
    <t>Repository: https://github.com/paulrekaris/TGA-COVID19-Vaccine-Safety-Monitoring-Audit</t>
  </si>
  <si>
    <t>aph.gov.au — Senate Hansard, 24 March 2026</t>
  </si>
  <si>
    <t>Programme assessment item: Governance and performance measurement (ISO 19011:2018 cl 5.5.2 and cl 5.2)</t>
  </si>
  <si>
    <t>Commonwealth PGPA Act s37 requires agencies explain performance. Plan specified 19 outputs requiring tracking. TOTAL ABSENCE of performance measurement: zero tracking, zero metrics, zero assessment across 33 months. Programme ceased (Nov 2023) without evaluation.</t>
  </si>
  <si>
    <t>Total absence of performance metrics; no tracking of 19 outputs; no KPIs documented; 150+ weekly reports contain zero Plan framework references; no assessment at programme cessation (Nov 2023)</t>
  </si>
  <si>
    <t>Consolidate timely information sharing, communication and collaboration with international stakeholders on COVID-19 vaccine safety activities and issues. (Objective 5)</t>
  </si>
  <si>
    <t>Official statements by TGA senior officials made to Senate committees constitute authoritative evidence of implementation status</t>
  </si>
  <si>
    <t>Highest - official testimony provided in parliamentary proceedings</t>
  </si>
  <si>
    <t>No oversight committees documented; no progress reports identified; no performance metrics tracking against 19 Plan outputs; no evidence of Plan-level governance</t>
  </si>
  <si>
    <t>Total absence of performance metrics; no tracking of 19 plan outputs; no KPIs documented; 150+ weekly reports contain zero Plan framework references; no assessment at programme cessation (Nov 2023)</t>
  </si>
  <si>
    <t>Independent documentary audit of Australia's COVID-19 Vaccine Safety Monitoring Plan (February 2021). 68.4 million doses administered under provisional approval. Four-year FOI investigation found Cabinet-endorsed enhanced monitoring unverifiable as a distinct, tracked framework. OAIC confirmed absence. 16% of 19 Plan outputs fully documented. ISO 19011:2018 methodology. Falsifiable methodology.
19 rows, one per audited Plan output. Each row contains the documentation status classification, severity rating, evidence sources, summary findings, documentation gaps, and key references for one of the 19 assessed outputs of the TGA COVID-19 Vaccine Safety Monitoring Plan (February 2021).</t>
  </si>
  <si>
    <t>Summary Finding</t>
  </si>
  <si>
    <t>Governance (ISO 19011:2018 cl 5.5.2 and cl 5.2)</t>
  </si>
  <si>
    <r>
      <t>Last Updated:</t>
    </r>
    <r>
      <rPr>
        <sz val="12"/>
        <color theme="1"/>
        <rFont val="Calibri"/>
        <family val="2"/>
        <scheme val="minor"/>
      </rPr>
      <t xml:space="preserve"> 25 June 2026</t>
    </r>
  </si>
  <si>
    <t>ISO 19011:2018 Section 6.4.9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</si>
  <si>
    <t xml:space="preserve">Signal Detection &amp; Investigation </t>
  </si>
  <si>
    <t xml:space="preserve">Regulatory Actions </t>
  </si>
  <si>
    <t>Output 1.1 (communication) = deliverable (reports exist) = Fully. Output 2.2 (investigation protocols) = process (protocols not documented) = Not Documented. Different output types require different evidence.</t>
  </si>
  <si>
    <t>Output 1.4: Data processing occurred (140K+ reports) but no evidence this was "enhanced" preparation vs routine DAEN capabilities. Activity documented but enhancement not evidenced.</t>
  </si>
  <si>
    <t>Severity Scoring Within "Partially Implemented" (Ratings 3–4)</t>
  </si>
  <si>
    <t>Grading nonconformities on a quantitative scale (here, 1–5) based on organisational context and risk is expressly contemplated by ISO 19011:2018, clause 6.4.8: "Nonconformities can be graded depending on the context of the organization and its risks. This grading can be quantitative (e.g. 1 to 5) and qualitative (e.g. minor, major)."</t>
  </si>
  <si>
    <t>The decision tree above establishes the three-category rating. Within "Partially Implemented," a numeric severity of 3 (Moderate) or 4 (High) is assigned using the same rating scale and definitions set out in the dataset codebook (Section 4):</t>
  </si>
  <si>
    <t>Label</t>
  </si>
  <si>
    <t>Codebook Definition</t>
  </si>
  <si>
    <t>High</t>
  </si>
  <si>
    <t>Significant gap materially affecting a core monitoring objective.</t>
  </si>
  <si>
    <t>Output 2.4 (named commitment to "collaborate with AusVaxSafety"); Output 2.1 (commitment to establish expected/background rates); Output 3.1 (regulatory-action integration).</t>
  </si>
  <si>
    <t>Moderate</t>
  </si>
  <si>
    <t>Partial gap with potential impact on a monitoring objective or pharmacovigilance output.</t>
  </si>
  <si>
    <t>Outputs 1.3–1.5 (data-sharing and escalation processes); Outputs 2.7–2.8 (engagement documentation); Outputs 5.1–5.2 (collaboration frameworks).</t>
  </si>
  <si>
    <t>This distinction is applied consistently across the Evidence Matrix and Output Assessment sheets, and is falsifiable in the same way as the primary ratings (see Falsifiability Principle below): if TGA produces documentation closing a specific gap, the severity score is revised accordingly.</t>
  </si>
  <si>
    <t>Communication Outputs (1.1, 3.1)</t>
  </si>
  <si>
    <t>Deliverable Outputs (1.2 Forms)</t>
  </si>
  <si>
    <t>Process/Protocol Outputs (2.2, 2.3, 2.5, 2.6)</t>
  </si>
  <si>
    <t>Integration/Coordination Outputs (2.4, 4.1, 5.1. 5.2)</t>
  </si>
  <si>
    <t>Governance Outputs (GOV.1, GOV.2)
(ISO 19011:2018 cl 5.5.2 and cl 5.2)</t>
  </si>
  <si>
    <t>Fully → Partially: If significant documentation gaps subsequently identified</t>
  </si>
  <si>
    <t>Partially → Fully: If TGA produces comprehensive framework documentation</t>
  </si>
  <si>
    <t>Not Documented → Partially/Fully: If TGA produces previously undisclosed documentation through FOI, OAIC direction, or public release</t>
  </si>
  <si>
    <t>Why Fully: Output 1.1 is about public communication and reporting pathways (not internal processes). Website content exists, advertising documented, weekly reports published. This is COMMUNICATION OUTPUT fully delivered.</t>
  </si>
  <si>
    <t>Rating: ✓ FULLY IMPLEMENTED</t>
  </si>
  <si>
    <t>Rating: ◐ PARTIALLY IMPLEMENTED</t>
  </si>
  <si>
    <t>Rating: ✗ NOT DOCUMENTED</t>
  </si>
  <si>
    <t>Methodology: ISO 19011:2018 (evidence-based approach), ANAO Performance Audit Standards, Commonwealth accountability frameworks (PGPA Act s37-39, Archives Act 1983)</t>
  </si>
  <si>
    <t>Complete Audit Documentation: https://github.com/paulrekaris/TGA-COVID19-Vaccine-Safety-Monitoring-Audit</t>
  </si>
  <si>
    <t>Rekaris, P. (2026). TGA COVID-19 Vaccine Safety Monitoring Plan — Output Assessment Evidence Matrix (v1.9.4). Harvard Dataverse. doi.org/10.7910/DVN/BDKZQJ</t>
  </si>
  <si>
    <t>September 2024 searches under OAIC statutory direction, including a term returning 531+ TRIM containers, identified zero documents in scope — TGA's own assessment of what implementation documentation exists.</t>
  </si>
  <si>
    <r>
      <t>Last Updated:</t>
    </r>
    <r>
      <rPr>
        <sz val="11"/>
        <color theme="1"/>
        <rFont val="Calibri"/>
        <family val="2"/>
        <scheme val="minor"/>
      </rPr>
      <t xml:space="preserve"> </t>
    </r>
    <r>
      <rPr>
        <sz val="11"/>
        <color theme="1"/>
        <rFont val="Calibri (Body)"/>
      </rPr>
      <t>23 August 2026</t>
    </r>
  </si>
  <si>
    <t>Per ISO 19011:2018 Clause 6.4.9, audit conclusions are based on evidence made available to auditor within defined scope, not hypothetical evidence that might exist elsewhere</t>
  </si>
  <si>
    <t>Under Commonwealth accountability frameworks (PGPA Act 2013 s37, Archives Act 1983, FOI Act 1982), the burden rests with Commonwealth entities to demonstrate performance through documentation, not with oversight bodies or citizens to prove documentation doesn't exist.</t>
  </si>
  <si>
    <t>OAIC MR22/00538 searches (531+ containers)</t>
  </si>
  <si>
    <t>FOI 3643, FOI 25-0166, OAIC MR22/00538 searches (531+ containers), FOI 5275</t>
  </si>
  <si>
    <t>FOI 3643, FOI 25-0166, OAIC MR22/00538 searches (531+ containers), Senate testimony Oct 2025</t>
  </si>
  <si>
    <t>Senate Hansard 9 Oct 2025 ('day-to-day processes never systematically tracked'); OAIC Decision AICmr 54; OAIC MR22/00538 (531+ containers, zero governance docs); FOI 3643 (Feb 2022: 'no implementation report exists')</t>
  </si>
  <si>
    <t>Plan committed to 'environmental scanning' of scientific literature and regulatory decisions. After searching 531+ containers, zero systematic processes documented. Ad hoc scanning may have occurred but SYSTEMATIC PROCESSES not evidenced.</t>
  </si>
  <si>
    <t>Plan required governance/oversight mechanisms for 19  outputs. After searching 531+ containers: ZERO governance documentation. Senate testimony direct admission: 'never systematically tracked'. This is TOTAL ABSENCE of Plan governance.</t>
  </si>
  <si>
    <t>FOI 3643, FOI 25-0166, OAIC MR22/00538 searches (531+ containers), Senate Community Affairs Legislation Committee, Supplementary Budget Estimates 2025–26, Committee Hansard, 9 October 2025</t>
  </si>
  <si>
    <t>Senate Community Affairs Legislation Committee, Supplementary Budget Estimates 2025–26, Committee Hansard, 9 October 2025</t>
  </si>
  <si>
    <t>Last Updated: 23 August 2026</t>
  </si>
  <si>
    <t>FOI 4029-03 shows TGA presented the Strategy 2.3 methodology to ACV (Sep 2021) but zero outputs in concurrent public reports. FOI 5275 (Aug 2024) confirms TGA does not hold incidence data required by Strategy 2.3 AIR-denominator methodology 3.5 years post-approval. Contradiction: methodology presented to ACV but not documented publicly.</t>
  </si>
  <si>
    <t>FOI 4029-03 shows TGA presented the Strategy 2.3 methodology to ACV (Sep 2021) but zero outputs in concurrent public reports. FOI 5275 (Aug 2024) confirms TGA 'does not hold incidence data' 3.5 years post-approval. Contradiction: methodology presented to ACV but not documented publicly.</t>
  </si>
  <si>
    <t>(1) TGA OAIC searches (531+ containers) found no relevant documentation, AND (2) FOI processes produced no evidence, AND (3) No references in public reports/testimony</t>
  </si>
  <si>
    <t>Output 2.2: Zero COVID-specific investigation protocols found in 531+ -container search. Output GOV.1: Zero oversight committee documentation; Senate testimony confirms "never systematically tracked". Output 2.3: Zero enhanced cumulative review processes despite Strategy 2.3 presentation to ACV.</t>
  </si>
  <si>
    <t>Why Not Documented: Plan required governance/oversight mechanisms for 19 outputs. After searching 531+ containers: ZERO governance documentation. Senate testimony direct admission: 'never systematically tracked'. This is TOTAL ABSENCE of Plan governance.</t>
  </si>
  <si>
    <t>FOI 3643, FOI 25-0166, OAIC MR22/00538 searches (531+ containers, 2,218+ pages), FOI 5275</t>
  </si>
  <si>
    <t>Plan committed to enhanced processes for analysing sponsor clinical studies/reports. Zero evidence of these processes after comprehensive OAIC searches (531+ TRIM containers, 2,218+ pages). FOI 5275 independently corroborates related documentation gaps: a separate applicant sought monthly incidence data for AusPAR monitoring conditions and TGA responded the documents do not exist.</t>
  </si>
  <si>
    <t>Plan explicitly committed to "specific protocols for investigating COVID-19 AEFI reports." After searching 531+ TRIM containers (2,218+ pages), zero COVID-specific protocols found. Senate evidence (9 October 2025) confirms routine processes were used. Activity occurred (150 investigations) but the specific protocols are not documented.</t>
  </si>
  <si>
    <t>AusVaxSafety infrastructure operated effectively, but no documented integration methodology or systematic coordination mechanism was identified showing how AusVaxSafety active-surveillance information was used to coordinate TGA safety signal detection and investigation. TGA’s September 2024 OAIC-directed searches did not use “AusVaxSafety” as a search term despite the Output 2.4 commitment.</t>
  </si>
  <si>
    <t>FOI 3643, FOI 25-0166, FOI-3110 OAIC MR22/00538 searches, AusVaxSafety public reports, TGA weekly reports</t>
  </si>
  <si>
    <r>
      <t>FOI 26-3110 (AusVaxSafety Annual Report 2022)</t>
    </r>
    <r>
      <rPr>
        <sz val="12"/>
        <color theme="1"/>
        <rFont val="Calibri"/>
        <family val="2"/>
        <scheme val="minor"/>
      </rPr>
      <t xml:space="preserve"> documents fortnightly COVID-19 vaccine signal detection, sharing of analysis reports with Health and TGA, and signals notified to and discussed with the TGA Pharmacovigilance Branch. FOI 4029-03 (ACV received Strategy 2.3 methodology, Sep 2021); FOI 4029-05 (VSIG operational; child deaths not referred); ACV Meeting Statements; Senate testimony; OAIC MR22/00538 (“unable to meaningfully interpret” Objective 5 for advisory searches).</t>
    </r>
  </si>
  <si>
    <t>Massive active-surveillance activity (6.8M surveys) demonstrates AusVaxSafety delivery, with evidence of signal detection and notification/discussion of some signals with TGA. BUT Plan committed TGA to “collaborate with AusVaxSafety” to coordinate safety signal detection and investigation. No documented coordination protocols or systematic audit trail showing how AusVaxSafety surveillance findings informed TGA signal detection and investigation were identified.</t>
  </si>
  <si>
    <t>AusVaxSafety 2023 Annual Report (6.8M surveys); TGA FOI 26-3110 (2022 Annual Report: signal detection and notification/discussion with TGA); Surveillance Analysis (no systematic integration documented); OAIC MR22/00538 (did not search “AusVaxSafety”); Phillips et al. 2021 (complementary/parallel surveillance systems).</t>
  </si>
  <si>
    <t>FOI 3643, FOI 25-0166, FOI 26-3110 (AusVaxSafety Annual Report 2022), OAIC MR22/00538 searches, FOI 5082, AusVaxSafety public reports, TGA weekly reports</t>
  </si>
  <si>
    <t>AusVaxSafety infrastructure operated effectively: 6,887,520 COVID-19 vaccine safety surveys completed; 62,000+ medical-attention reports documented; data appears in TGA weekly reports. FOI 26-3110 additionally documents fortnightly COVID-19 vaccine signal detection, sharing of analysis reports with Health and TGA, and specific signals notified to and discussed with the TGA Pharmacovigilance Branch.</t>
  </si>
  <si>
    <t>No documented coordination protocols between TGA and AusVaxSafety; no integration methodology found; OAIC searches did not use “AusVaxSafety” as a search term despite the Output 2.4 commitment; no documented pathway demonstrating how AusVaxSafety surveillance findings informed TGA signal detection, prioritisation or investigation.</t>
  </si>
  <si>
    <t>FOI 26-3110 (AusVaxSafety Annual Report 2022); FOI 4029-03 (ACV received Strategy 2.3 methodology, Sep 2021); FOI 4029-05 (VSIG operational; child deaths not referred); ACV Meeting Statements; Senate testimony; OAIC MR22/00538 (“unable to meaningfully interpret” Objective 5 for advisory searches).</t>
  </si>
  <si>
    <t>Version v1.9.5   ·  September 2026   ·   Paul Rekaris   ·   ORCID: orcid.org/0009-0000-1338-9578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</si>
</sst>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1"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u/>
      <sz val="12"/>
      <color theme="10"/>
      <name val="Calibri"/>
      <family val="2"/>
      <scheme val="minor"/>
    </font>
    <font>
      <sz val="10"/>
      <color indexed="8"/>
      <name val="Helvetica Neue"/>
      <family val="2"/>
    </font>
    <font>
      <sz val="12"/>
      <color indexed="8"/>
      <name val="Helvetica Neue"/>
      <family val="2"/>
    </font>
    <font>
      <b/>
      <sz val="14"/>
      <color rgb="FF1F4E79"/>
      <name val="Calibri"/>
      <family val="2"/>
      <scheme val="minor"/>
    </font>
    <font>
      <b/>
      <sz val="11"/>
      <color rgb="FFFFFFFF"/>
      <name val="Calibri"/>
      <family val="2"/>
      <scheme val="minor"/>
    </font>
    <font>
      <sz val="11"/>
      <color theme="1"/>
      <name val="Calibri"/>
      <family val="2"/>
      <scheme val="minor"/>
    </font>
    <font>
      <b/>
      <sz val="12"/>
      <color rgb="FF1F4E79"/>
      <name val="Calibri"/>
      <family val="2"/>
      <scheme val="minor"/>
    </font>
    <font>
      <b/>
      <sz val="11"/>
      <color theme="1"/>
      <name val="Calibri"/>
      <family val="2"/>
      <scheme val="minor"/>
    </font>
    <font>
      <b/>
      <sz val="11"/>
      <color rgb="FF1F4E79"/>
      <name val="Calibri"/>
      <family val="2"/>
      <scheme val="minor"/>
    </font>
    <font>
      <i/>
      <sz val="11"/>
      <color theme="1"/>
      <name val="Calibri"/>
      <family val="2"/>
      <scheme val="minor"/>
    </font>
    <font>
      <b/>
      <sz val="11"/>
      <color rgb="FF9C0006"/>
      <name val="Calibri"/>
      <family val="2"/>
      <scheme val="minor"/>
    </font>
    <font>
      <b/>
      <sz val="12"/>
      <color indexed="8"/>
      <name val="Calibri"/>
      <family val="2"/>
    </font>
    <font>
      <sz val="12"/>
      <color indexed="8"/>
      <name val="Calibri"/>
      <family val="2"/>
    </font>
    <font>
      <sz val="12"/>
      <color rgb="FF006100"/>
      <name val="Calibri"/>
      <family val="2"/>
    </font>
    <font>
      <sz val="12"/>
      <color rgb="FF9C5700"/>
      <name val="Calibri"/>
      <family val="2"/>
    </font>
    <font>
      <sz val="12"/>
      <color rgb="FF9C0006"/>
      <name val="Calibri"/>
      <family val="2"/>
    </font>
    <font>
      <b/>
      <sz val="11"/>
      <color rgb="FF595959"/>
      <name val="Calibri"/>
      <family val="2"/>
      <scheme val="minor"/>
    </font>
    <font>
      <sz val="18"/>
      <color indexed="8"/>
      <name val="Helvetica Neue"/>
      <family val="2"/>
    </font>
    <font>
      <sz val="14"/>
      <color theme="1"/>
      <name val="Helvetica Neue"/>
      <family val="2"/>
    </font>
    <font>
      <b/>
      <sz val="20"/>
      <color rgb="FFFFFFFF"/>
      <name val="Calibri"/>
      <family val="2"/>
      <scheme val="minor"/>
    </font>
    <font>
      <u/>
      <sz val="11"/>
      <color rgb="FF0563C1"/>
      <name val="Calibri"/>
      <family val="2"/>
      <scheme val="minor"/>
    </font>
    <font>
      <b/>
      <sz val="20"/>
      <color rgb="FFFFFFFF"/>
      <name val="Calibri"/>
      <family val="2"/>
    </font>
    <font>
      <sz val="11"/>
      <color indexed="8"/>
      <name val="Calibri"/>
      <family val="2"/>
    </font>
    <font>
      <b/>
      <sz val="12"/>
      <color rgb="FF595959"/>
      <name val="Calibri"/>
      <family val="2"/>
      <scheme val="minor"/>
    </font>
    <font>
      <sz val="11"/>
      <color theme="1"/>
      <name val="Calibri (Body)"/>
    </font>
    <font>
      <b/>
      <u/>
      <sz val="11"/>
      <color rgb="FF595959"/>
      <name val="Calibri"/>
      <family val="2"/>
      <scheme val="minor"/>
    </font>
    <font>
      <b/>
      <sz val="14"/>
      <color rgb="FFFFFFFF"/>
      <name val="Calibri"/>
      <family val="2"/>
    </font>
    <font>
      <sz val="14"/>
      <color indexed="8"/>
      <name val="Helvetica Neue"/>
      <family val="2"/>
    </font>
    <font>
      <sz val="20"/>
      <color theme="1"/>
      <name val="Calibri"/>
      <family val="2"/>
      <scheme val="minor"/>
    </font>
    <font>
      <b/>
      <sz val="16"/>
      <color rgb="FFFFFFFF"/>
      <name val="Arial"/>
      <family val="2"/>
    </font>
    <font>
      <sz val="13"/>
      <color rgb="FFFFFFFF"/>
      <name val="Arial"/>
      <family val="2"/>
    </font>
    <font>
      <sz val="10"/>
      <color rgb="FFFFFFFF"/>
      <name val="Arial"/>
      <family val="2"/>
    </font>
    <font>
      <sz val="11"/>
      <color rgb="FF000000"/>
      <name val="Arial"/>
      <family val="2"/>
    </font>
    <font>
      <b/>
      <sz val="12"/>
      <color rgb="FFFFFFFF"/>
      <name val="Arial"/>
      <family val="2"/>
    </font>
    <font>
      <b/>
      <sz val="10"/>
      <color rgb="FFFFFFFF"/>
      <name val="Arial"/>
      <family val="2"/>
    </font>
    <font>
      <b/>
      <sz val="11"/>
      <color rgb="FF000000"/>
      <name val="Arial"/>
      <family val="2"/>
    </font>
    <font>
      <u/>
      <sz val="11"/>
      <color rgb="FF0563C1"/>
      <name val="Arial"/>
      <family val="2"/>
    </font>
    <font>
      <sz val="11"/>
      <color rgb="FF0563C1"/>
      <name val="Arial"/>
      <family val="2"/>
    </font>
    <font>
      <sz val="12"/>
      <color theme="1"/>
      <name val="Calibri"/>
      <family val="2"/>
      <charset val="1"/>
    </font>
    <font>
      <b/>
      <sz val="20"/>
      <color rgb="FFFFFFFF"/>
      <name val="Calibri"/>
      <family val="2"/>
      <charset val="1"/>
    </font>
    <font>
      <b/>
      <sz val="14"/>
      <color rgb="FF1F4E79"/>
      <name val="Calibri"/>
      <family val="2"/>
      <charset val="1"/>
    </font>
    <font>
      <sz val="11"/>
      <color theme="1"/>
      <name val="Calibri"/>
      <family val="2"/>
      <charset val="1"/>
    </font>
    <font>
      <b/>
      <sz val="11"/>
      <color rgb="FFFFFFFF"/>
      <name val="Calibri"/>
      <family val="2"/>
      <charset val="1"/>
    </font>
    <font>
      <b/>
      <sz val="11"/>
      <color rgb="FF006100"/>
      <name val="Calibri"/>
      <family val="2"/>
      <charset val="1"/>
    </font>
    <font>
      <sz val="14"/>
      <color rgb="FF006100"/>
      <name val="Calibri"/>
      <family val="2"/>
      <charset val="1"/>
    </font>
    <font>
      <b/>
      <sz val="11"/>
      <color theme="1"/>
      <name val="Calibri"/>
      <family val="2"/>
      <charset val="1"/>
    </font>
    <font>
      <b/>
      <sz val="11"/>
      <color rgb="FF9C5700"/>
      <name val="Calibri"/>
      <family val="2"/>
      <charset val="1"/>
    </font>
    <font>
      <sz val="14"/>
      <color rgb="FF9C5700"/>
      <name val="Calibri"/>
      <family val="2"/>
      <charset val="1"/>
    </font>
    <font>
      <b/>
      <sz val="11"/>
      <color rgb="FF9C0006"/>
      <name val="Calibri"/>
      <family val="2"/>
      <charset val="1"/>
    </font>
    <font>
      <sz val="14"/>
      <color rgb="FF9C0006"/>
      <name val="Calibri"/>
      <family val="2"/>
      <charset val="1"/>
    </font>
    <font>
      <b/>
      <sz val="12"/>
      <color rgb="FF1F4E79"/>
      <name val="Calibri"/>
      <family val="2"/>
      <charset val="1"/>
    </font>
    <font>
      <sz val="11"/>
      <color rgb="FF333333"/>
      <name val="Consolas"/>
      <family val="2"/>
      <charset val="1"/>
    </font>
    <font>
      <sz val="11"/>
      <color rgb="FF006100"/>
      <name val="Consolas"/>
      <family val="2"/>
      <charset val="1"/>
    </font>
    <font>
      <sz val="11"/>
      <color rgb="FF9C5700"/>
      <name val="Consolas"/>
      <family val="2"/>
      <charset val="1"/>
    </font>
    <font>
      <sz val="11"/>
      <color rgb="FF9C0006"/>
      <name val="Consolas"/>
      <family val="2"/>
      <charset val="1"/>
    </font>
    <font>
      <b/>
      <sz val="12"/>
      <name val="Calibri"/>
      <family val="2"/>
    </font>
    <font>
      <i/>
      <sz val="10"/>
      <name val="Calibri"/>
      <family val="2"/>
    </font>
    <font>
      <b/>
      <sz val="11"/>
      <color rgb="FFFFFFFF"/>
      <name val="Calibri"/>
      <family val="2"/>
    </font>
    <font>
      <sz val="11"/>
      <name val="Calibri"/>
      <family val="2"/>
    </font>
    <font>
      <b/>
      <i/>
      <sz val="11"/>
      <color theme="1"/>
      <name val="Calibri"/>
      <family val="2"/>
      <charset val="1"/>
    </font>
    <font>
      <b/>
      <sz val="13"/>
      <color rgb="FF006100"/>
      <name val="Calibri"/>
      <family val="2"/>
      <charset val="1"/>
    </font>
    <font>
      <b/>
      <sz val="11"/>
      <color rgb="FF1F4E79"/>
      <name val="Calibri"/>
      <family val="2"/>
      <charset val="1"/>
    </font>
    <font>
      <b/>
      <sz val="12"/>
      <color rgb="FF006100"/>
      <name val="Calibri"/>
      <family val="2"/>
      <charset val="1"/>
    </font>
    <font>
      <b/>
      <sz val="13"/>
      <color rgb="FF9C5700"/>
      <name val="Calibri"/>
      <family val="2"/>
      <charset val="1"/>
    </font>
    <font>
      <b/>
      <sz val="12"/>
      <color rgb="FF9C5700"/>
      <name val="Calibri"/>
      <family val="2"/>
      <charset val="1"/>
    </font>
    <font>
      <b/>
      <sz val="13"/>
      <color rgb="FF9C0006"/>
      <name val="Calibri"/>
      <family val="2"/>
      <charset val="1"/>
    </font>
    <font>
      <b/>
      <sz val="12"/>
      <color rgb="FF9C0006"/>
      <name val="Calibri"/>
      <family val="2"/>
      <charset val="1"/>
    </font>
    <font>
      <b/>
      <sz val="12"/>
      <color rgb="FF595959"/>
      <name val="Calibri"/>
      <family val="2"/>
      <charset val="1"/>
    </font>
    <font>
      <b/>
      <sz val="12"/>
      <color rgb="FF595959"/>
      <name val="Calibri (Body)"/>
      <charset val="1"/>
    </font>
    <font>
      <b/>
      <u/>
      <sz val="10"/>
      <color rgb="FF0563C1"/>
      <name val="Calibri"/>
      <family val="2"/>
      <charset val="1"/>
    </font>
  </fonts>
  <fills count="28">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0"/>
        <bgColor indexed="64"/>
      </patternFill>
    </fill>
    <fill>
      <patternFill patternType="solid">
        <fgColor rgb="FFD6DCE4"/>
        <bgColor indexed="64"/>
      </patternFill>
    </fill>
    <fill>
      <patternFill patternType="solid">
        <fgColor rgb="FFF2F2F2"/>
        <bgColor indexed="64"/>
      </patternFill>
    </fill>
    <fill>
      <patternFill patternType="solid">
        <fgColor rgb="FFE2EFDA"/>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FFFFFF"/>
        <bgColor indexed="64"/>
      </patternFill>
    </fill>
    <fill>
      <patternFill patternType="solid">
        <fgColor rgb="FFF2F2F2"/>
      </patternFill>
    </fill>
    <fill>
      <patternFill patternType="solid">
        <fgColor rgb="FF1F4E79"/>
      </patternFill>
    </fill>
    <fill>
      <patternFill patternType="solid">
        <fgColor rgb="FF2E75B6"/>
      </patternFill>
    </fill>
    <fill>
      <patternFill patternType="solid">
        <fgColor rgb="FFFFFFFF"/>
      </patternFill>
    </fill>
    <fill>
      <patternFill patternType="solid">
        <fgColor rgb="FF1F4E79"/>
        <bgColor rgb="FF003366"/>
      </patternFill>
    </fill>
    <fill>
      <patternFill patternType="solid">
        <fgColor rgb="FFFFFFFF"/>
        <bgColor rgb="FFF8F9FA"/>
      </patternFill>
    </fill>
    <fill>
      <patternFill patternType="solid">
        <fgColor rgb="FFD6DCE4"/>
        <bgColor rgb="FFD9D9D9"/>
      </patternFill>
    </fill>
    <fill>
      <patternFill patternType="solid">
        <fgColor rgb="FFC6EFCE"/>
        <bgColor rgb="FFE2EFDA"/>
      </patternFill>
    </fill>
    <fill>
      <patternFill patternType="solid">
        <fgColor rgb="FFFFEB9C"/>
        <bgColor rgb="FFFFF2CC"/>
      </patternFill>
    </fill>
    <fill>
      <patternFill patternType="solid">
        <fgColor rgb="FFFFC7CE"/>
        <bgColor rgb="FFD9D9D9"/>
      </patternFill>
    </fill>
    <fill>
      <patternFill patternType="solid">
        <fgColor rgb="FFF2F2F2"/>
        <bgColor rgb="FFF8F9FA"/>
      </patternFill>
    </fill>
    <fill>
      <patternFill patternType="solid">
        <fgColor rgb="FFF8F9FA"/>
        <bgColor rgb="FFFFFFFF"/>
      </patternFill>
    </fill>
    <fill>
      <patternFill patternType="solid">
        <fgColor rgb="FFE2EFDA"/>
        <bgColor rgb="FFF2F2F2"/>
      </patternFill>
    </fill>
    <fill>
      <patternFill patternType="solid">
        <fgColor rgb="FFFFF2CC"/>
        <bgColor rgb="FFF2F2F2"/>
      </patternFill>
    </fill>
  </fills>
  <borders count="68">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top style="thin">
        <color rgb="FF1F4E79"/>
      </top>
      <bottom/>
      <diagonal/>
    </border>
    <border>
      <left/>
      <right/>
      <top style="medium">
        <color rgb="FF1F4E79"/>
      </top>
      <bottom/>
      <diagonal/>
    </border>
    <border>
      <left/>
      <right/>
      <top style="medium">
        <color rgb="FF1F4E79"/>
      </top>
      <bottom style="medium">
        <color rgb="FF1F4E79"/>
      </bottom>
      <diagonal/>
    </border>
    <border>
      <left style="medium">
        <color rgb="FF1F4E79"/>
      </left>
      <right/>
      <top style="medium">
        <color rgb="FF1F4E79"/>
      </top>
      <bottom style="medium">
        <color rgb="FF1F4E79"/>
      </bottom>
      <diagonal/>
    </border>
    <border>
      <left/>
      <right style="medium">
        <color rgb="FF1F4E79"/>
      </right>
      <top style="medium">
        <color rgb="FF1F4E79"/>
      </top>
      <bottom style="medium">
        <color rgb="FF1F4E79"/>
      </bottom>
      <diagonal/>
    </border>
    <border>
      <left style="medium">
        <color rgb="FF1F4E79"/>
      </left>
      <right/>
      <top style="medium">
        <color rgb="FF1F4E79"/>
      </top>
      <bottom/>
      <diagonal/>
    </border>
    <border>
      <left/>
      <right style="medium">
        <color rgb="FF1F4E79"/>
      </right>
      <top style="medium">
        <color rgb="FF1F4E79"/>
      </top>
      <bottom/>
      <diagonal/>
    </border>
    <border>
      <left style="medium">
        <color rgb="FF1F4E79"/>
      </left>
      <right/>
      <top style="thin">
        <color rgb="FF1F4E79"/>
      </top>
      <bottom/>
      <diagonal/>
    </border>
    <border>
      <left/>
      <right style="medium">
        <color rgb="FF1F4E79"/>
      </right>
      <top style="thin">
        <color rgb="FF1F4E79"/>
      </top>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diagonal/>
    </border>
    <border>
      <left style="thin">
        <color rgb="FF757171"/>
      </left>
      <right style="thin">
        <color theme="2" tint="-0.499984740745262"/>
      </right>
      <top/>
      <bottom/>
      <diagonal/>
    </border>
    <border>
      <left/>
      <right style="thin">
        <color theme="2" tint="-0.499984740745262"/>
      </right>
      <top/>
      <bottom style="thin">
        <color theme="2" tint="-0.499984740745262"/>
      </bottom>
      <diagonal/>
    </border>
    <border>
      <left style="thin">
        <color theme="2" tint="-0.499984740745262"/>
      </left>
      <right/>
      <top/>
      <bottom style="thin">
        <color theme="2" tint="-0.499984740745262"/>
      </bottom>
      <diagonal/>
    </border>
    <border>
      <left/>
      <right/>
      <top style="thin">
        <color rgb="FF757171"/>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757171"/>
      </top>
      <bottom style="thin">
        <color rgb="FF757171"/>
      </bottom>
      <diagonal/>
    </border>
    <border>
      <left style="thin">
        <color rgb="FF757171"/>
      </left>
      <right/>
      <top style="thin">
        <color rgb="FF757171"/>
      </top>
      <bottom style="thin">
        <color rgb="FF757171"/>
      </bottom>
      <diagonal/>
    </border>
    <border>
      <left style="thin">
        <color rgb="FF757171"/>
      </left>
      <right/>
      <top style="thin">
        <color rgb="FF757171"/>
      </top>
      <bottom/>
      <diagonal/>
    </border>
    <border>
      <left/>
      <right style="thin">
        <color rgb="FF757171"/>
      </right>
      <top style="thin">
        <color rgb="FF757171"/>
      </top>
      <bottom/>
      <diagonal/>
    </border>
    <border>
      <left/>
      <right/>
      <top/>
      <bottom style="thin">
        <color rgb="FF1F4E79"/>
      </bottom>
      <diagonal/>
    </border>
    <border>
      <left/>
      <right/>
      <top/>
      <bottom style="medium">
        <color rgb="FF1F4E79"/>
      </bottom>
      <diagonal/>
    </border>
    <border>
      <left/>
      <right/>
      <top style="thin">
        <color rgb="FF548235"/>
      </top>
      <bottom/>
      <diagonal/>
    </border>
    <border>
      <left/>
      <right/>
      <top/>
      <bottom style="thin">
        <color rgb="FF548235"/>
      </bottom>
      <diagonal/>
    </border>
    <border>
      <left/>
      <right/>
      <top/>
      <bottom style="medium">
        <color rgb="FF548235"/>
      </bottom>
      <diagonal/>
    </border>
    <border>
      <left/>
      <right/>
      <top style="medium">
        <color rgb="FF9C0006"/>
      </top>
      <bottom/>
      <diagonal/>
    </border>
    <border>
      <left/>
      <right/>
      <top/>
      <bottom style="medium">
        <color rgb="FF9C0006"/>
      </bottom>
      <diagonal/>
    </border>
    <border>
      <left style="thin">
        <color rgb="FFD9D9D9"/>
      </left>
      <right/>
      <top style="medium">
        <color rgb="FF1F4E79"/>
      </top>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top style="thin">
        <color rgb="FFB4C6E7"/>
      </top>
      <bottom/>
      <diagonal/>
    </border>
    <border>
      <left style="thin">
        <color rgb="FF548235"/>
      </left>
      <right/>
      <top/>
      <bottom/>
      <diagonal/>
    </border>
    <border>
      <left/>
      <right style="thin">
        <color rgb="FF548235"/>
      </right>
      <top/>
      <bottom/>
      <diagonal/>
    </border>
    <border>
      <left/>
      <right/>
      <top/>
      <bottom style="thin">
        <color rgb="FFBF8F00"/>
      </bottom>
      <diagonal/>
    </border>
    <border>
      <left style="thin">
        <color rgb="FFBF8F00"/>
      </left>
      <right/>
      <top/>
      <bottom/>
      <diagonal/>
    </border>
    <border>
      <left/>
      <right style="thin">
        <color rgb="FFBF8F00"/>
      </right>
      <top/>
      <bottom/>
      <diagonal/>
    </border>
    <border>
      <left style="thin">
        <color rgb="FF9C0006"/>
      </left>
      <right/>
      <top/>
      <bottom/>
      <diagonal/>
    </border>
    <border>
      <left/>
      <right style="thin">
        <color rgb="FF9C0006"/>
      </right>
      <top/>
      <bottom/>
      <diagonal/>
    </border>
    <border>
      <left/>
      <right style="thin">
        <color rgb="FFD9D9D9"/>
      </right>
      <top/>
      <bottom/>
      <diagonal/>
    </border>
    <border>
      <left/>
      <right style="thin">
        <color rgb="FFD9D9D9"/>
      </right>
      <top style="medium">
        <color rgb="FF1F4E79"/>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rgb="FFD9D9D9"/>
      </right>
      <top style="thin">
        <color rgb="FF1F4E79"/>
      </top>
      <bottom/>
      <diagonal/>
    </border>
    <border>
      <left style="thin">
        <color rgb="FFD9D9D9"/>
      </left>
      <right/>
      <top/>
      <bottom/>
      <diagonal/>
    </border>
    <border>
      <left style="thin">
        <color rgb="FFD9D9D9"/>
      </left>
      <right/>
      <top style="thin">
        <color rgb="FF1F4E79"/>
      </top>
      <bottom/>
      <diagonal/>
    </border>
    <border>
      <left style="medium">
        <color rgb="FF1F4E79"/>
      </left>
      <right/>
      <top/>
      <bottom/>
      <diagonal/>
    </border>
    <border>
      <left/>
      <right style="medium">
        <color rgb="FF1F4E79"/>
      </right>
      <top/>
      <bottom/>
      <diagonal/>
    </border>
    <border>
      <left style="medium">
        <color rgb="FF548235"/>
      </left>
      <right/>
      <top/>
      <bottom/>
      <diagonal/>
    </border>
    <border>
      <left/>
      <right/>
      <top style="medium">
        <color rgb="FF006100"/>
      </top>
      <bottom/>
      <diagonal/>
    </border>
    <border>
      <left/>
      <right/>
      <top style="medium">
        <color rgb="FF9C5700"/>
      </top>
      <bottom/>
      <diagonal/>
    </border>
    <border>
      <left style="thin">
        <color rgb="FFD9D9D9"/>
      </left>
      <right/>
      <top style="medium">
        <color rgb="FF1F4E79"/>
      </top>
      <bottom style="medium">
        <color rgb="FF1F4E79"/>
      </bottom>
      <diagonal/>
    </border>
    <border>
      <left/>
      <right style="thin">
        <color rgb="FFD9D9D9"/>
      </right>
      <top style="medium">
        <color rgb="FF1F4E79"/>
      </top>
      <bottom style="medium">
        <color rgb="FF1F4E79"/>
      </bottom>
      <diagonal/>
    </border>
    <border>
      <left style="thin">
        <color rgb="FF000000"/>
      </left>
      <right/>
      <top/>
      <bottom/>
      <diagonal/>
    </border>
    <border>
      <left style="thin">
        <color rgb="FF757171"/>
      </left>
      <right/>
      <top style="thin">
        <color rgb="FF757171"/>
      </top>
      <bottom style="medium">
        <color rgb="FF1F4E79"/>
      </bottom>
      <diagonal/>
    </border>
    <border>
      <left/>
      <right/>
      <top style="thin">
        <color rgb="FF757171"/>
      </top>
      <bottom style="medium">
        <color rgb="FF1F4E79"/>
      </bottom>
      <diagonal/>
    </border>
    <border>
      <left style="thin">
        <color auto="1"/>
      </left>
      <right/>
      <top/>
      <bottom/>
      <diagonal/>
    </border>
    <border>
      <left style="thin">
        <color rgb="FFB4C6E7"/>
      </left>
      <right style="thin">
        <color rgb="FFB4C6E7"/>
      </right>
      <top/>
      <bottom/>
      <diagonal/>
    </border>
    <border>
      <left style="thin">
        <color rgb="FF548235"/>
      </left>
      <right style="thin">
        <color rgb="FF548235"/>
      </right>
      <top/>
      <bottom/>
      <diagonal/>
    </border>
  </borders>
  <cellStyleXfs count="4">
    <xf numFmtId="0" fontId="0" fillId="0" borderId="0"/>
    <xf numFmtId="0" fontId="11" fillId="0" borderId="0" applyNumberFormat="0" applyFill="0" applyBorder="0" applyAlignment="0" applyProtection="0"/>
    <xf numFmtId="0" fontId="12" fillId="0" borderId="0" applyNumberFormat="0" applyFill="0" applyBorder="0" applyProtection="0">
      <alignment vertical="top" wrapText="1"/>
    </xf>
    <xf numFmtId="0" fontId="49" fillId="0" borderId="0"/>
  </cellStyleXfs>
  <cellXfs count="298">
    <xf numFmtId="0" fontId="0" fillId="0" borderId="0" xfId="0"/>
    <xf numFmtId="0" fontId="0" fillId="0" borderId="0" xfId="0" applyAlignment="1">
      <alignment vertical="top" wrapText="1"/>
    </xf>
    <xf numFmtId="0" fontId="0" fillId="0" borderId="0" xfId="0" applyAlignment="1">
      <alignment horizontal="left" vertical="top" wrapText="1"/>
    </xf>
    <xf numFmtId="0" fontId="10" fillId="0" borderId="0" xfId="0" applyFont="1" applyAlignment="1">
      <alignment vertical="top" wrapText="1"/>
    </xf>
    <xf numFmtId="0" fontId="0" fillId="0" borderId="0" xfId="0" applyAlignment="1">
      <alignment vertical="top"/>
    </xf>
    <xf numFmtId="0" fontId="12" fillId="0" borderId="0" xfId="2" applyNumberFormat="1" applyAlignment="1">
      <alignment vertical="top"/>
    </xf>
    <xf numFmtId="0" fontId="13" fillId="0" borderId="0" xfId="2" applyNumberFormat="1" applyFont="1" applyAlignment="1">
      <alignment vertical="top"/>
    </xf>
    <xf numFmtId="0" fontId="12" fillId="0" borderId="0" xfId="2" applyNumberFormat="1">
      <alignment vertical="top" wrapText="1"/>
    </xf>
    <xf numFmtId="0" fontId="13" fillId="0" borderId="0" xfId="2" applyNumberFormat="1" applyFont="1" applyBorder="1" applyAlignment="1">
      <alignment vertical="top"/>
    </xf>
    <xf numFmtId="0" fontId="9" fillId="2" borderId="3" xfId="0" applyFont="1" applyFill="1" applyBorder="1" applyAlignment="1">
      <alignment vertical="top"/>
    </xf>
    <xf numFmtId="0" fontId="9" fillId="2" borderId="8" xfId="0" applyFont="1" applyFill="1" applyBorder="1" applyAlignment="1">
      <alignment vertical="top"/>
    </xf>
    <xf numFmtId="0" fontId="9" fillId="2" borderId="7" xfId="0" applyFont="1" applyFill="1" applyBorder="1" applyAlignment="1">
      <alignment vertical="top"/>
    </xf>
    <xf numFmtId="0" fontId="0" fillId="9" borderId="21" xfId="0" applyFill="1" applyBorder="1" applyAlignment="1">
      <alignment horizontal="left" vertical="top"/>
    </xf>
    <xf numFmtId="0" fontId="0" fillId="9" borderId="21" xfId="0" applyFill="1" applyBorder="1" applyAlignment="1">
      <alignment horizontal="left" vertical="top" wrapText="1"/>
    </xf>
    <xf numFmtId="0" fontId="0" fillId="9" borderId="27" xfId="0" applyFill="1" applyBorder="1" applyAlignment="1">
      <alignment horizontal="left" vertical="top" wrapText="1"/>
    </xf>
    <xf numFmtId="0" fontId="0" fillId="0" borderId="21" xfId="0" applyBorder="1" applyAlignment="1">
      <alignment horizontal="left" vertical="top"/>
    </xf>
    <xf numFmtId="0" fontId="0" fillId="0" borderId="21" xfId="0" applyBorder="1" applyAlignment="1">
      <alignment horizontal="left" vertical="top" wrapText="1"/>
    </xf>
    <xf numFmtId="0" fontId="0" fillId="0" borderId="27" xfId="0" applyBorder="1" applyAlignment="1">
      <alignment horizontal="left" vertical="top" wrapText="1"/>
    </xf>
    <xf numFmtId="0" fontId="0" fillId="0" borderId="24" xfId="0" applyBorder="1" applyAlignment="1">
      <alignment horizontal="left" vertical="top" wrapText="1"/>
    </xf>
    <xf numFmtId="0" fontId="0" fillId="9" borderId="21" xfId="0" applyFill="1" applyBorder="1" applyAlignment="1">
      <alignment horizontal="center" vertical="top"/>
    </xf>
    <xf numFmtId="0" fontId="0" fillId="0" borderId="21" xfId="0" applyBorder="1" applyAlignment="1">
      <alignment horizontal="center" vertical="top"/>
    </xf>
    <xf numFmtId="0" fontId="0" fillId="0" borderId="24" xfId="0" applyBorder="1" applyAlignment="1">
      <alignment horizontal="center" vertical="top"/>
    </xf>
    <xf numFmtId="0" fontId="1" fillId="3" borderId="21" xfId="0" applyFont="1" applyFill="1" applyBorder="1" applyAlignment="1">
      <alignment horizontal="center" vertical="top"/>
    </xf>
    <xf numFmtId="0" fontId="3" fillId="4" borderId="21" xfId="0" applyFont="1" applyFill="1" applyBorder="1" applyAlignment="1">
      <alignment horizontal="center" vertical="top"/>
    </xf>
    <xf numFmtId="0" fontId="2" fillId="5" borderId="21" xfId="0" applyFont="1" applyFill="1" applyBorder="1" applyAlignment="1">
      <alignment horizontal="center" vertical="top"/>
    </xf>
    <xf numFmtId="0" fontId="2" fillId="5" borderId="24" xfId="0" applyFont="1" applyFill="1" applyBorder="1" applyAlignment="1">
      <alignment horizontal="center" vertical="top"/>
    </xf>
    <xf numFmtId="0" fontId="28" fillId="0" borderId="0" xfId="2" applyNumberFormat="1" applyFont="1" applyBorder="1" applyAlignment="1">
      <alignment vertical="top"/>
    </xf>
    <xf numFmtId="0" fontId="28" fillId="0" borderId="0" xfId="2" applyNumberFormat="1" applyFont="1" applyAlignment="1">
      <alignment vertical="top"/>
    </xf>
    <xf numFmtId="0" fontId="0" fillId="0" borderId="21" xfId="0" applyBorder="1" applyAlignment="1">
      <alignment horizontal="center" vertical="top" wrapText="1"/>
    </xf>
    <xf numFmtId="0" fontId="12" fillId="0" borderId="0" xfId="2" applyNumberFormat="1" applyAlignment="1">
      <alignment horizontal="left" vertical="top"/>
    </xf>
    <xf numFmtId="0" fontId="0" fillId="12" borderId="21" xfId="0" applyFill="1" applyBorder="1" applyAlignment="1">
      <alignment horizontal="left" vertical="top"/>
    </xf>
    <xf numFmtId="0" fontId="0" fillId="12" borderId="21" xfId="0" applyFill="1" applyBorder="1" applyAlignment="1">
      <alignment horizontal="left" vertical="top" wrapText="1"/>
    </xf>
    <xf numFmtId="0" fontId="0" fillId="12" borderId="21" xfId="0" applyFill="1" applyBorder="1" applyAlignment="1">
      <alignment horizontal="center" vertical="top"/>
    </xf>
    <xf numFmtId="0" fontId="16" fillId="9" borderId="3" xfId="0" applyFont="1" applyFill="1" applyBorder="1" applyAlignment="1">
      <alignment vertical="top" wrapText="1"/>
    </xf>
    <xf numFmtId="0" fontId="16" fillId="13" borderId="39" xfId="0" applyFont="1" applyFill="1" applyBorder="1" applyAlignment="1">
      <alignment vertical="top" wrapText="1"/>
    </xf>
    <xf numFmtId="0" fontId="16" fillId="9" borderId="36" xfId="0" applyFont="1" applyFill="1" applyBorder="1" applyAlignment="1">
      <alignment vertical="top" wrapText="1"/>
    </xf>
    <xf numFmtId="0" fontId="16" fillId="9" borderId="39" xfId="0" applyFont="1" applyFill="1" applyBorder="1" applyAlignment="1">
      <alignment vertical="top" wrapText="1"/>
    </xf>
    <xf numFmtId="0" fontId="16" fillId="9" borderId="35" xfId="0" applyFont="1" applyFill="1" applyBorder="1" applyAlignment="1">
      <alignment horizontal="center" vertical="center" wrapText="1"/>
    </xf>
    <xf numFmtId="0" fontId="16" fillId="13" borderId="38" xfId="0" applyFont="1" applyFill="1" applyBorder="1" applyAlignment="1">
      <alignment horizontal="center" vertical="center" wrapText="1"/>
    </xf>
    <xf numFmtId="0" fontId="16" fillId="9" borderId="38" xfId="0" applyFont="1" applyFill="1" applyBorder="1" applyAlignment="1">
      <alignment horizontal="center" vertical="center" wrapText="1"/>
    </xf>
    <xf numFmtId="0" fontId="16" fillId="9" borderId="37" xfId="0" applyFont="1" applyFill="1" applyBorder="1" applyAlignment="1">
      <alignment horizontal="center" vertical="center" wrapText="1"/>
    </xf>
    <xf numFmtId="0" fontId="15" fillId="2" borderId="0" xfId="0" applyFont="1" applyFill="1" applyAlignment="1">
      <alignment horizontal="center" vertical="center" wrapText="1"/>
    </xf>
    <xf numFmtId="0" fontId="0" fillId="13" borderId="0" xfId="0" applyFill="1" applyAlignment="1">
      <alignment vertical="top" wrapText="1"/>
    </xf>
    <xf numFmtId="0" fontId="0" fillId="13" borderId="32" xfId="0" applyFill="1" applyBorder="1" applyAlignment="1">
      <alignment vertical="top" wrapText="1"/>
    </xf>
    <xf numFmtId="0" fontId="0" fillId="13" borderId="28" xfId="0" applyFill="1" applyBorder="1" applyAlignment="1">
      <alignment vertical="top" wrapText="1"/>
    </xf>
    <xf numFmtId="0" fontId="0" fillId="13" borderId="43" xfId="0" applyFill="1" applyBorder="1" applyAlignment="1">
      <alignment vertical="top" wrapText="1"/>
    </xf>
    <xf numFmtId="0" fontId="15" fillId="2" borderId="48" xfId="0" applyFont="1" applyFill="1" applyBorder="1" applyAlignment="1">
      <alignment horizontal="center" vertical="center" wrapText="1"/>
    </xf>
    <xf numFmtId="0" fontId="16" fillId="9" borderId="49" xfId="0" applyFont="1" applyFill="1" applyBorder="1" applyAlignment="1">
      <alignment vertical="top" wrapText="1"/>
    </xf>
    <xf numFmtId="0" fontId="16" fillId="13" borderId="50" xfId="0" applyFont="1" applyFill="1" applyBorder="1" applyAlignment="1">
      <alignment vertical="top" wrapText="1"/>
    </xf>
    <xf numFmtId="0" fontId="16" fillId="9" borderId="50" xfId="0" applyFont="1" applyFill="1" applyBorder="1" applyAlignment="1">
      <alignment vertical="top" wrapText="1"/>
    </xf>
    <xf numFmtId="0" fontId="16" fillId="9" borderId="51" xfId="0" applyFont="1" applyFill="1" applyBorder="1" applyAlignment="1">
      <alignment vertical="top" wrapText="1"/>
    </xf>
    <xf numFmtId="0" fontId="15" fillId="2" borderId="52" xfId="0" applyFont="1" applyFill="1" applyBorder="1" applyAlignment="1">
      <alignment horizontal="center" vertical="center" wrapText="1"/>
    </xf>
    <xf numFmtId="0" fontId="15" fillId="2" borderId="53" xfId="0" applyFont="1" applyFill="1" applyBorder="1" applyAlignment="1">
      <alignment horizontal="center" vertical="center" wrapText="1"/>
    </xf>
    <xf numFmtId="0" fontId="18" fillId="9" borderId="35" xfId="0" applyFont="1" applyFill="1" applyBorder="1" applyAlignment="1">
      <alignment vertical="top" wrapText="1"/>
    </xf>
    <xf numFmtId="0" fontId="18" fillId="13" borderId="38" xfId="0" applyFont="1" applyFill="1" applyBorder="1" applyAlignment="1">
      <alignment vertical="top" wrapText="1"/>
    </xf>
    <xf numFmtId="0" fontId="18" fillId="9" borderId="37" xfId="0" applyFont="1" applyFill="1" applyBorder="1" applyAlignment="1">
      <alignment vertical="top" wrapText="1"/>
    </xf>
    <xf numFmtId="0" fontId="15" fillId="2" borderId="54" xfId="0" applyFont="1" applyFill="1" applyBorder="1" applyAlignment="1">
      <alignment horizontal="center" vertical="center" wrapText="1"/>
    </xf>
    <xf numFmtId="0" fontId="18" fillId="9" borderId="38" xfId="0" applyFont="1" applyFill="1" applyBorder="1" applyAlignment="1">
      <alignment vertical="top" wrapText="1"/>
    </xf>
    <xf numFmtId="0" fontId="6" fillId="3" borderId="0" xfId="0" applyFont="1" applyFill="1" applyAlignment="1">
      <alignment horizontal="center" vertical="center"/>
    </xf>
    <xf numFmtId="0" fontId="7" fillId="4" borderId="0" xfId="0" applyFont="1" applyFill="1" applyAlignment="1">
      <alignment horizontal="center" vertical="center"/>
    </xf>
    <xf numFmtId="0" fontId="8" fillId="5" borderId="0" xfId="0" applyFont="1" applyFill="1" applyAlignment="1">
      <alignment horizontal="center" vertical="center"/>
    </xf>
    <xf numFmtId="0" fontId="0" fillId="13" borderId="0" xfId="0" applyFill="1"/>
    <xf numFmtId="0" fontId="5" fillId="2" borderId="7" xfId="0" applyFont="1" applyFill="1" applyBorder="1" applyAlignment="1">
      <alignment vertical="center"/>
    </xf>
    <xf numFmtId="0" fontId="5" fillId="2" borderId="3" xfId="0" applyFont="1" applyFill="1" applyBorder="1" applyAlignment="1">
      <alignment horizontal="center" vertical="center"/>
    </xf>
    <xf numFmtId="0" fontId="5" fillId="2" borderId="8" xfId="0" applyFont="1" applyFill="1" applyBorder="1" applyAlignment="1">
      <alignment horizontal="center" vertical="center"/>
    </xf>
    <xf numFmtId="0" fontId="1" fillId="3" borderId="35" xfId="0" applyFont="1" applyFill="1" applyBorder="1" applyAlignment="1">
      <alignment vertical="center"/>
    </xf>
    <xf numFmtId="0" fontId="0" fillId="0" borderId="3" xfId="0" applyBorder="1" applyAlignment="1">
      <alignment horizontal="center" vertical="center"/>
    </xf>
    <xf numFmtId="0" fontId="3" fillId="4" borderId="38" xfId="0" applyFont="1" applyFill="1" applyBorder="1" applyAlignment="1">
      <alignment vertical="center"/>
    </xf>
    <xf numFmtId="0" fontId="0" fillId="0" borderId="39" xfId="0" applyBorder="1" applyAlignment="1">
      <alignment horizontal="center" vertical="center"/>
    </xf>
    <xf numFmtId="0" fontId="2" fillId="5" borderId="38" xfId="0" applyFont="1" applyFill="1" applyBorder="1" applyAlignment="1">
      <alignment vertical="center"/>
    </xf>
    <xf numFmtId="0" fontId="4" fillId="0" borderId="60" xfId="0" applyFont="1" applyBorder="1" applyAlignment="1">
      <alignment vertical="center"/>
    </xf>
    <xf numFmtId="0" fontId="4" fillId="0" borderId="4" xfId="0" applyFont="1" applyBorder="1" applyAlignment="1">
      <alignment horizontal="center" vertical="center"/>
    </xf>
    <xf numFmtId="0" fontId="5" fillId="2" borderId="0" xfId="0" applyFont="1" applyFill="1" applyAlignment="1">
      <alignment vertical="center"/>
    </xf>
    <xf numFmtId="0" fontId="5" fillId="2" borderId="0" xfId="0" applyFont="1" applyFill="1" applyAlignment="1">
      <alignment horizontal="center" vertical="center"/>
    </xf>
    <xf numFmtId="0" fontId="0" fillId="9" borderId="35" xfId="0" applyFill="1" applyBorder="1" applyAlignment="1">
      <alignment vertical="center"/>
    </xf>
    <xf numFmtId="0" fontId="0" fillId="9" borderId="3" xfId="0" applyFill="1" applyBorder="1" applyAlignment="1">
      <alignment horizontal="center" vertical="center"/>
    </xf>
    <xf numFmtId="0" fontId="4" fillId="9" borderId="49" xfId="0" applyFont="1" applyFill="1" applyBorder="1" applyAlignment="1">
      <alignment horizontal="center" vertical="center"/>
    </xf>
    <xf numFmtId="0" fontId="0" fillId="0" borderId="38" xfId="0" applyBorder="1" applyAlignment="1">
      <alignment horizontal="left" vertical="center"/>
    </xf>
    <xf numFmtId="0" fontId="4" fillId="0" borderId="50" xfId="0" applyFont="1" applyBorder="1" applyAlignment="1">
      <alignment horizontal="center" vertical="center"/>
    </xf>
    <xf numFmtId="0" fontId="0" fillId="9" borderId="38" xfId="0" applyFill="1" applyBorder="1" applyAlignment="1">
      <alignment vertical="center"/>
    </xf>
    <xf numFmtId="0" fontId="0" fillId="9" borderId="39" xfId="0" applyFill="1" applyBorder="1" applyAlignment="1">
      <alignment horizontal="center" vertical="center"/>
    </xf>
    <xf numFmtId="0" fontId="4" fillId="9" borderId="50" xfId="0" applyFont="1" applyFill="1" applyBorder="1" applyAlignment="1">
      <alignment horizontal="center" vertical="center"/>
    </xf>
    <xf numFmtId="0" fontId="0" fillId="0" borderId="38" xfId="0" applyBorder="1" applyAlignment="1">
      <alignment vertical="center"/>
    </xf>
    <xf numFmtId="0" fontId="4" fillId="6" borderId="60" xfId="0" applyFont="1" applyFill="1" applyBorder="1" applyAlignment="1">
      <alignment vertical="center"/>
    </xf>
    <xf numFmtId="0" fontId="4" fillId="6" borderId="4" xfId="0" applyFont="1" applyFill="1" applyBorder="1" applyAlignment="1">
      <alignment horizontal="center" vertical="center"/>
    </xf>
    <xf numFmtId="0" fontId="4" fillId="6" borderId="61" xfId="0" applyFont="1" applyFill="1" applyBorder="1" applyAlignment="1">
      <alignment horizontal="center" vertical="center"/>
    </xf>
    <xf numFmtId="164" fontId="0" fillId="0" borderId="3" xfId="0" applyNumberFormat="1" applyBorder="1" applyAlignment="1">
      <alignment horizontal="center" vertical="center"/>
    </xf>
    <xf numFmtId="0" fontId="0" fillId="0" borderId="49" xfId="0" applyBorder="1" applyAlignment="1">
      <alignment horizontal="center" vertical="center"/>
    </xf>
    <xf numFmtId="164" fontId="0" fillId="0" borderId="39" xfId="0" applyNumberFormat="1" applyBorder="1" applyAlignment="1">
      <alignment horizontal="center" vertical="center"/>
    </xf>
    <xf numFmtId="0" fontId="0" fillId="0" borderId="50" xfId="0" applyBorder="1" applyAlignment="1">
      <alignment horizontal="center" vertical="center"/>
    </xf>
    <xf numFmtId="165" fontId="0" fillId="0" borderId="49" xfId="0" applyNumberFormat="1" applyBorder="1" applyAlignment="1">
      <alignment horizontal="center" vertical="center"/>
    </xf>
    <xf numFmtId="165" fontId="0" fillId="0" borderId="50" xfId="0" applyNumberFormat="1" applyBorder="1" applyAlignment="1">
      <alignment horizontal="center" vertical="center"/>
    </xf>
    <xf numFmtId="165" fontId="4" fillId="0" borderId="61" xfId="0" applyNumberFormat="1" applyFont="1" applyBorder="1" applyAlignment="1">
      <alignment horizontal="center" vertical="center"/>
    </xf>
    <xf numFmtId="49" fontId="23" fillId="9" borderId="14" xfId="2" applyNumberFormat="1" applyFont="1" applyFill="1" applyBorder="1">
      <alignment vertical="top" wrapText="1"/>
    </xf>
    <xf numFmtId="49" fontId="23" fillId="9" borderId="1" xfId="2" applyNumberFormat="1" applyFont="1" applyFill="1" applyBorder="1">
      <alignment vertical="top" wrapText="1"/>
    </xf>
    <xf numFmtId="49" fontId="24" fillId="3" borderId="1" xfId="2" applyNumberFormat="1" applyFont="1" applyFill="1" applyBorder="1" applyAlignment="1">
      <alignment horizontal="center" vertical="top" wrapText="1"/>
    </xf>
    <xf numFmtId="49" fontId="23" fillId="9" borderId="11" xfId="2" applyNumberFormat="1" applyFont="1" applyFill="1" applyBorder="1">
      <alignment vertical="top" wrapText="1"/>
    </xf>
    <xf numFmtId="49" fontId="23" fillId="0" borderId="14" xfId="2" applyNumberFormat="1" applyFont="1" applyBorder="1">
      <alignment vertical="top" wrapText="1"/>
    </xf>
    <xf numFmtId="49" fontId="23" fillId="0" borderId="1" xfId="2" applyNumberFormat="1" applyFont="1" applyBorder="1">
      <alignment vertical="top" wrapText="1"/>
    </xf>
    <xf numFmtId="49" fontId="23" fillId="0" borderId="11" xfId="2" applyNumberFormat="1" applyFont="1" applyBorder="1">
      <alignment vertical="top" wrapText="1"/>
    </xf>
    <xf numFmtId="49" fontId="25" fillId="4" borderId="1" xfId="2" applyNumberFormat="1" applyFont="1" applyFill="1" applyBorder="1" applyAlignment="1">
      <alignment horizontal="center" vertical="top" wrapText="1"/>
    </xf>
    <xf numFmtId="49" fontId="26" fillId="5" borderId="1" xfId="2" applyNumberFormat="1" applyFont="1" applyFill="1" applyBorder="1" applyAlignment="1">
      <alignment horizontal="center" vertical="top" wrapText="1"/>
    </xf>
    <xf numFmtId="49" fontId="23" fillId="7" borderId="14" xfId="2" applyNumberFormat="1" applyFont="1" applyFill="1" applyBorder="1">
      <alignment vertical="top" wrapText="1"/>
    </xf>
    <xf numFmtId="49" fontId="23" fillId="7" borderId="1" xfId="2" applyNumberFormat="1" applyFont="1" applyFill="1" applyBorder="1">
      <alignment vertical="top" wrapText="1"/>
    </xf>
    <xf numFmtId="49" fontId="23" fillId="7" borderId="11" xfId="2" applyNumberFormat="1" applyFont="1" applyFill="1" applyBorder="1">
      <alignment vertical="top" wrapText="1"/>
    </xf>
    <xf numFmtId="49" fontId="23" fillId="7" borderId="15" xfId="2" applyNumberFormat="1" applyFont="1" applyFill="1" applyBorder="1">
      <alignment vertical="top" wrapText="1"/>
    </xf>
    <xf numFmtId="49" fontId="26" fillId="5" borderId="15" xfId="2" applyNumberFormat="1" applyFont="1" applyFill="1" applyBorder="1" applyAlignment="1">
      <alignment horizontal="center" vertical="top" wrapText="1"/>
    </xf>
    <xf numFmtId="49" fontId="23" fillId="7" borderId="13" xfId="2" applyNumberFormat="1" applyFont="1" applyFill="1" applyBorder="1">
      <alignment vertical="top" wrapText="1"/>
    </xf>
    <xf numFmtId="49" fontId="26" fillId="5" borderId="16" xfId="2" applyNumberFormat="1" applyFont="1" applyFill="1" applyBorder="1" applyAlignment="1">
      <alignment horizontal="center" vertical="top" wrapText="1"/>
    </xf>
    <xf numFmtId="49" fontId="33" fillId="9" borderId="23" xfId="2" applyNumberFormat="1" applyFont="1" applyFill="1" applyBorder="1" applyAlignment="1">
      <alignment horizontal="center" vertical="center" wrapText="1"/>
    </xf>
    <xf numFmtId="49" fontId="33" fillId="0" borderId="23" xfId="2" applyNumberFormat="1" applyFont="1" applyBorder="1" applyAlignment="1">
      <alignment horizontal="center" vertical="center" wrapText="1"/>
    </xf>
    <xf numFmtId="49" fontId="33" fillId="9" borderId="22" xfId="2" applyNumberFormat="1" applyFont="1" applyFill="1" applyBorder="1" applyAlignment="1">
      <alignment horizontal="center" vertical="center" wrapText="1"/>
    </xf>
    <xf numFmtId="49" fontId="33" fillId="7" borderId="23" xfId="2" applyNumberFormat="1" applyFont="1" applyFill="1" applyBorder="1" applyAlignment="1">
      <alignment horizontal="center" vertical="center" wrapText="1"/>
    </xf>
    <xf numFmtId="49" fontId="22" fillId="9" borderId="1" xfId="2" applyNumberFormat="1" applyFont="1" applyFill="1" applyBorder="1" applyAlignment="1">
      <alignment horizontal="center" vertical="center" wrapText="1"/>
    </xf>
    <xf numFmtId="49" fontId="22" fillId="7" borderId="15" xfId="2" applyNumberFormat="1" applyFont="1" applyFill="1" applyBorder="1" applyAlignment="1">
      <alignment horizontal="center" vertical="center" wrapText="1"/>
    </xf>
    <xf numFmtId="49" fontId="37" fillId="2" borderId="18" xfId="2" applyNumberFormat="1" applyFont="1" applyFill="1" applyBorder="1" applyAlignment="1">
      <alignment horizontal="center" vertical="center" wrapText="1"/>
    </xf>
    <xf numFmtId="49" fontId="37" fillId="2" borderId="19" xfId="2" applyNumberFormat="1" applyFont="1" applyFill="1" applyBorder="1" applyAlignment="1">
      <alignment horizontal="center" vertical="center" wrapText="1"/>
    </xf>
    <xf numFmtId="49" fontId="37" fillId="2" borderId="12" xfId="2" applyNumberFormat="1" applyFont="1" applyFill="1" applyBorder="1" applyAlignment="1">
      <alignment horizontal="center" vertical="center" wrapText="1"/>
    </xf>
    <xf numFmtId="49" fontId="37" fillId="2" borderId="20" xfId="2" applyNumberFormat="1" applyFont="1" applyFill="1" applyBorder="1" applyAlignment="1">
      <alignment horizontal="center" vertical="center" wrapText="1"/>
    </xf>
    <xf numFmtId="49" fontId="37" fillId="2" borderId="62" xfId="2" applyNumberFormat="1" applyFont="1" applyFill="1" applyBorder="1" applyAlignment="1">
      <alignment horizontal="center" vertical="center" wrapText="1"/>
    </xf>
    <xf numFmtId="0" fontId="38" fillId="0" borderId="0" xfId="2" applyNumberFormat="1" applyFont="1" applyBorder="1" applyAlignment="1">
      <alignment vertical="top"/>
    </xf>
    <xf numFmtId="0" fontId="38" fillId="0" borderId="0" xfId="2" applyNumberFormat="1" applyFont="1" applyAlignment="1">
      <alignment vertical="top"/>
    </xf>
    <xf numFmtId="0" fontId="0" fillId="0" borderId="26" xfId="0" applyBorder="1" applyAlignment="1">
      <alignment horizontal="left" vertical="top" wrapText="1"/>
    </xf>
    <xf numFmtId="0" fontId="0" fillId="9" borderId="26" xfId="0" applyFill="1" applyBorder="1" applyAlignment="1">
      <alignment horizontal="left" vertical="top" wrapText="1"/>
    </xf>
    <xf numFmtId="0" fontId="0" fillId="12" borderId="26" xfId="0" applyFill="1" applyBorder="1" applyAlignment="1">
      <alignment horizontal="left" vertical="top" wrapText="1"/>
    </xf>
    <xf numFmtId="0" fontId="0" fillId="0" borderId="25" xfId="0" applyBorder="1" applyAlignment="1">
      <alignment horizontal="left" vertical="top" wrapText="1"/>
    </xf>
    <xf numFmtId="0" fontId="0" fillId="0" borderId="65" xfId="0" applyBorder="1" applyAlignment="1">
      <alignment horizontal="left" vertical="top" wrapText="1"/>
    </xf>
    <xf numFmtId="0" fontId="39" fillId="0" borderId="0" xfId="0" applyFont="1" applyAlignment="1">
      <alignment vertical="top" wrapText="1"/>
    </xf>
    <xf numFmtId="0" fontId="0" fillId="13" borderId="34" xfId="0" applyFill="1" applyBorder="1" applyAlignment="1">
      <alignment horizontal="left" vertical="top" wrapText="1"/>
    </xf>
    <xf numFmtId="0" fontId="0" fillId="13" borderId="0" xfId="0" applyFill="1" applyAlignment="1">
      <alignment horizontal="left" vertical="top" wrapText="1"/>
    </xf>
    <xf numFmtId="0" fontId="0" fillId="13" borderId="31" xfId="0" applyFill="1" applyBorder="1" applyAlignment="1">
      <alignment horizontal="left" vertical="top" wrapText="1"/>
    </xf>
    <xf numFmtId="2" fontId="4" fillId="6" borderId="4" xfId="0" applyNumberFormat="1" applyFont="1" applyFill="1" applyBorder="1" applyAlignment="1">
      <alignment horizontal="center" vertical="center"/>
    </xf>
    <xf numFmtId="0" fontId="30" fillId="2" borderId="7" xfId="0" applyFont="1" applyFill="1" applyBorder="1" applyAlignment="1">
      <alignment vertical="top"/>
    </xf>
    <xf numFmtId="0" fontId="30" fillId="2" borderId="3" xfId="0" applyFont="1" applyFill="1" applyBorder="1" applyAlignment="1">
      <alignment vertical="top"/>
    </xf>
    <xf numFmtId="0" fontId="30" fillId="2" borderId="8" xfId="0" applyFont="1" applyFill="1" applyBorder="1" applyAlignment="1">
      <alignment vertical="top"/>
    </xf>
    <xf numFmtId="0" fontId="45" fillId="16" borderId="0" xfId="0" applyFont="1" applyFill="1" applyAlignment="1">
      <alignment vertical="center"/>
    </xf>
    <xf numFmtId="0" fontId="46" fillId="14" borderId="0" xfId="0" applyFont="1" applyFill="1" applyAlignment="1">
      <alignment vertical="top" wrapText="1"/>
    </xf>
    <xf numFmtId="0" fontId="43" fillId="14" borderId="0" xfId="0" applyFont="1" applyFill="1" applyAlignment="1">
      <alignment vertical="top" wrapText="1"/>
    </xf>
    <xf numFmtId="0" fontId="46" fillId="17" borderId="0" xfId="0" applyFont="1" applyFill="1" applyAlignment="1">
      <alignment vertical="top" wrapText="1"/>
    </xf>
    <xf numFmtId="0" fontId="43" fillId="17" borderId="0" xfId="0" applyFont="1" applyFill="1" applyAlignment="1">
      <alignment vertical="top" wrapText="1"/>
    </xf>
    <xf numFmtId="0" fontId="47" fillId="14" borderId="0" xfId="0" applyFont="1" applyFill="1" applyAlignment="1">
      <alignment vertical="top" wrapText="1"/>
    </xf>
    <xf numFmtId="0" fontId="47" fillId="17" borderId="0" xfId="0" applyFont="1" applyFill="1" applyAlignment="1">
      <alignment vertical="top" wrapText="1"/>
    </xf>
    <xf numFmtId="0" fontId="48" fillId="14" borderId="0" xfId="0" applyFont="1" applyFill="1" applyAlignment="1">
      <alignment vertical="top" wrapText="1"/>
    </xf>
    <xf numFmtId="0" fontId="48" fillId="17" borderId="0" xfId="0" applyFont="1" applyFill="1" applyAlignment="1">
      <alignment vertical="top" wrapText="1"/>
    </xf>
    <xf numFmtId="0" fontId="0" fillId="9" borderId="38" xfId="0" applyFill="1" applyBorder="1" applyAlignment="1">
      <alignment vertical="center" wrapText="1"/>
    </xf>
    <xf numFmtId="49" fontId="22" fillId="9" borderId="17" xfId="2" applyNumberFormat="1" applyFont="1" applyFill="1" applyBorder="1" applyAlignment="1">
      <alignment horizontal="center" vertical="center" wrapText="1"/>
    </xf>
    <xf numFmtId="49" fontId="22" fillId="7" borderId="17" xfId="2" applyNumberFormat="1" applyFont="1" applyFill="1" applyBorder="1" applyAlignment="1">
      <alignment horizontal="center" vertical="center" wrapText="1"/>
    </xf>
    <xf numFmtId="49" fontId="0" fillId="9" borderId="26" xfId="0" applyNumberFormat="1" applyFill="1" applyBorder="1" applyAlignment="1">
      <alignment horizontal="center" vertical="top"/>
    </xf>
    <xf numFmtId="49" fontId="0" fillId="0" borderId="26" xfId="0" applyNumberFormat="1" applyBorder="1" applyAlignment="1">
      <alignment horizontal="center" vertical="top"/>
    </xf>
    <xf numFmtId="49" fontId="0" fillId="0" borderId="21" xfId="0" applyNumberFormat="1" applyBorder="1" applyAlignment="1">
      <alignment horizontal="center" vertical="top" wrapText="1"/>
    </xf>
    <xf numFmtId="49" fontId="0" fillId="0" borderId="25" xfId="0" applyNumberFormat="1" applyBorder="1" applyAlignment="1">
      <alignment horizontal="center" vertical="top"/>
    </xf>
    <xf numFmtId="0" fontId="49" fillId="0" borderId="0" xfId="3" applyAlignment="1">
      <alignment vertical="top" wrapText="1"/>
    </xf>
    <xf numFmtId="0" fontId="49" fillId="19" borderId="0" xfId="3" applyFill="1" applyAlignment="1">
      <alignment vertical="top" wrapText="1"/>
    </xf>
    <xf numFmtId="0" fontId="49" fillId="19" borderId="0" xfId="3" applyFill="1" applyAlignment="1">
      <alignment horizontal="center" vertical="top" wrapText="1"/>
    </xf>
    <xf numFmtId="0" fontId="49" fillId="19" borderId="3" xfId="3" applyFill="1" applyBorder="1" applyAlignment="1">
      <alignment vertical="top" wrapText="1"/>
    </xf>
    <xf numFmtId="0" fontId="49" fillId="19" borderId="3" xfId="3" applyFill="1" applyBorder="1" applyAlignment="1">
      <alignment horizontal="center" vertical="top" wrapText="1"/>
    </xf>
    <xf numFmtId="0" fontId="53" fillId="18" borderId="55" xfId="3" applyFont="1" applyFill="1" applyBorder="1" applyAlignment="1">
      <alignment vertical="top" wrapText="1"/>
    </xf>
    <xf numFmtId="0" fontId="53" fillId="18" borderId="0" xfId="3" applyFont="1" applyFill="1" applyAlignment="1">
      <alignment horizontal="center" vertical="top" wrapText="1"/>
    </xf>
    <xf numFmtId="0" fontId="53" fillId="18" borderId="0" xfId="3" applyFont="1" applyFill="1" applyAlignment="1">
      <alignment vertical="top" wrapText="1"/>
    </xf>
    <xf numFmtId="0" fontId="53" fillId="18" borderId="56" xfId="3" applyFont="1" applyFill="1" applyBorder="1" applyAlignment="1">
      <alignment vertical="top" wrapText="1"/>
    </xf>
    <xf numFmtId="0" fontId="54" fillId="21" borderId="7" xfId="3" applyFont="1" applyFill="1" applyBorder="1" applyAlignment="1">
      <alignment vertical="top" wrapText="1"/>
    </xf>
    <xf numFmtId="0" fontId="55" fillId="21" borderId="3" xfId="3" applyFont="1" applyFill="1" applyBorder="1" applyAlignment="1">
      <alignment horizontal="center" vertical="top" wrapText="1"/>
    </xf>
    <xf numFmtId="0" fontId="52" fillId="21" borderId="3" xfId="3" applyFont="1" applyFill="1" applyBorder="1" applyAlignment="1">
      <alignment vertical="top" wrapText="1"/>
    </xf>
    <xf numFmtId="0" fontId="56" fillId="21" borderId="8" xfId="3" applyFont="1" applyFill="1" applyBorder="1" applyAlignment="1">
      <alignment vertical="top" wrapText="1"/>
    </xf>
    <xf numFmtId="0" fontId="57" fillId="22" borderId="9" xfId="3" applyFont="1" applyFill="1" applyBorder="1" applyAlignment="1">
      <alignment vertical="top" wrapText="1"/>
    </xf>
    <xf numFmtId="0" fontId="58" fillId="22" borderId="2" xfId="3" applyFont="1" applyFill="1" applyBorder="1" applyAlignment="1">
      <alignment horizontal="center" vertical="top" wrapText="1"/>
    </xf>
    <xf numFmtId="0" fontId="52" fillId="22" borderId="2" xfId="3" applyFont="1" applyFill="1" applyBorder="1" applyAlignment="1">
      <alignment vertical="top" wrapText="1"/>
    </xf>
    <xf numFmtId="0" fontId="56" fillId="22" borderId="10" xfId="3" applyFont="1" applyFill="1" applyBorder="1" applyAlignment="1">
      <alignment vertical="top" wrapText="1"/>
    </xf>
    <xf numFmtId="0" fontId="59" fillId="23" borderId="9" xfId="3" applyFont="1" applyFill="1" applyBorder="1" applyAlignment="1">
      <alignment vertical="top" wrapText="1"/>
    </xf>
    <xf numFmtId="0" fontId="60" fillId="23" borderId="2" xfId="3" applyFont="1" applyFill="1" applyBorder="1" applyAlignment="1">
      <alignment horizontal="center" vertical="top" wrapText="1"/>
    </xf>
    <xf numFmtId="0" fontId="52" fillId="23" borderId="2" xfId="3" applyFont="1" applyFill="1" applyBorder="1" applyAlignment="1">
      <alignment vertical="top" wrapText="1"/>
    </xf>
    <xf numFmtId="0" fontId="56" fillId="23" borderId="10" xfId="3" applyFont="1" applyFill="1" applyBorder="1" applyAlignment="1">
      <alignment vertical="top" wrapText="1"/>
    </xf>
    <xf numFmtId="0" fontId="53" fillId="18" borderId="0" xfId="3" applyFont="1" applyFill="1" applyAlignment="1">
      <alignment horizontal="left" vertical="top" wrapText="1"/>
    </xf>
    <xf numFmtId="0" fontId="56" fillId="24" borderId="0" xfId="3" applyFont="1" applyFill="1" applyAlignment="1">
      <alignment vertical="top" wrapText="1"/>
    </xf>
    <xf numFmtId="0" fontId="52" fillId="24" borderId="0" xfId="3" applyFont="1" applyFill="1" applyAlignment="1">
      <alignment horizontal="left" vertical="top" wrapText="1"/>
    </xf>
    <xf numFmtId="0" fontId="52" fillId="24" borderId="0" xfId="3" applyFont="1" applyFill="1" applyAlignment="1">
      <alignment vertical="top" wrapText="1"/>
    </xf>
    <xf numFmtId="0" fontId="56" fillId="0" borderId="0" xfId="3" applyFont="1" applyAlignment="1">
      <alignment vertical="top" wrapText="1"/>
    </xf>
    <xf numFmtId="0" fontId="52" fillId="0" borderId="0" xfId="3" applyFont="1" applyAlignment="1">
      <alignment horizontal="left" vertical="top" wrapText="1"/>
    </xf>
    <xf numFmtId="0" fontId="52" fillId="0" borderId="0" xfId="3" applyFont="1" applyAlignment="1">
      <alignment vertical="top" wrapText="1"/>
    </xf>
    <xf numFmtId="0" fontId="49" fillId="19" borderId="40" xfId="3" applyFill="1" applyBorder="1" applyAlignment="1">
      <alignment vertical="top" wrapText="1"/>
    </xf>
    <xf numFmtId="0" fontId="49" fillId="19" borderId="40" xfId="3" applyFill="1" applyBorder="1" applyAlignment="1">
      <alignment horizontal="center" vertical="top" wrapText="1"/>
    </xf>
    <xf numFmtId="0" fontId="66" fillId="19" borderId="40" xfId="3" applyFont="1" applyFill="1" applyBorder="1" applyAlignment="1">
      <alignment vertical="top" wrapText="1"/>
    </xf>
    <xf numFmtId="0" fontId="67" fillId="20" borderId="29" xfId="3" applyFont="1" applyFill="1" applyBorder="1" applyAlignment="1">
      <alignment horizontal="left" vertical="top" wrapText="1"/>
    </xf>
    <xf numFmtId="0" fontId="49" fillId="0" borderId="0" xfId="3" applyAlignment="1">
      <alignment horizontal="center" vertical="top" wrapText="1"/>
    </xf>
    <xf numFmtId="0" fontId="67" fillId="0" borderId="0" xfId="3" applyFont="1" applyAlignment="1">
      <alignment wrapText="1"/>
    </xf>
    <xf numFmtId="0" fontId="68" fillId="18" borderId="5" xfId="3" applyFont="1" applyFill="1" applyBorder="1" applyAlignment="1">
      <alignment horizontal="center" vertical="center" wrapText="1"/>
    </xf>
    <xf numFmtId="0" fontId="68" fillId="18" borderId="4" xfId="3" applyFont="1" applyFill="1" applyBorder="1" applyAlignment="1">
      <alignment horizontal="center" vertical="center" wrapText="1"/>
    </xf>
    <xf numFmtId="0" fontId="68" fillId="18" borderId="6" xfId="3" applyFont="1" applyFill="1" applyBorder="1" applyAlignment="1">
      <alignment horizontal="center" vertical="center" wrapText="1"/>
    </xf>
    <xf numFmtId="0" fontId="53" fillId="18" borderId="6" xfId="3" applyFont="1" applyFill="1" applyBorder="1" applyAlignment="1">
      <alignment vertical="top" wrapText="1"/>
    </xf>
    <xf numFmtId="0" fontId="69" fillId="24" borderId="0" xfId="3" applyFont="1" applyFill="1" applyAlignment="1">
      <alignment horizontal="center" vertical="top" wrapText="1"/>
    </xf>
    <xf numFmtId="0" fontId="69" fillId="24" borderId="0" xfId="3" applyFont="1" applyFill="1" applyAlignment="1">
      <alignment horizontal="left" vertical="top" wrapText="1"/>
    </xf>
    <xf numFmtId="0" fontId="69" fillId="0" borderId="0" xfId="3" applyFont="1" applyAlignment="1">
      <alignment horizontal="center" vertical="top" wrapText="1"/>
    </xf>
    <xf numFmtId="0" fontId="69" fillId="0" borderId="0" xfId="3" applyFont="1" applyAlignment="1">
      <alignment horizontal="left" vertical="top" wrapText="1"/>
    </xf>
    <xf numFmtId="0" fontId="67" fillId="24" borderId="0" xfId="3" applyFont="1" applyFill="1" applyAlignment="1">
      <alignment wrapText="1"/>
    </xf>
    <xf numFmtId="0" fontId="53" fillId="18" borderId="5" xfId="3" applyFont="1" applyFill="1" applyBorder="1" applyAlignment="1">
      <alignment vertical="top" wrapText="1"/>
    </xf>
    <xf numFmtId="0" fontId="53" fillId="18" borderId="4" xfId="3" applyFont="1" applyFill="1" applyBorder="1" applyAlignment="1">
      <alignment horizontal="left" vertical="top" wrapText="1"/>
    </xf>
    <xf numFmtId="0" fontId="53" fillId="18" borderId="4" xfId="3" applyFont="1" applyFill="1" applyBorder="1" applyAlignment="1">
      <alignment vertical="top" wrapText="1"/>
    </xf>
    <xf numFmtId="0" fontId="49" fillId="19" borderId="30" xfId="3" applyFill="1" applyBorder="1" applyAlignment="1">
      <alignment vertical="top" wrapText="1"/>
    </xf>
    <xf numFmtId="0" fontId="49" fillId="19" borderId="30" xfId="3" applyFill="1" applyBorder="1" applyAlignment="1">
      <alignment horizontal="center" vertical="top" wrapText="1"/>
    </xf>
    <xf numFmtId="0" fontId="49" fillId="19" borderId="0" xfId="3" applyFill="1" applyAlignment="1">
      <alignment vertical="top"/>
    </xf>
    <xf numFmtId="0" fontId="49" fillId="19" borderId="0" xfId="3" applyFill="1" applyAlignment="1">
      <alignment horizontal="center" vertical="top"/>
    </xf>
    <xf numFmtId="0" fontId="49" fillId="19" borderId="3" xfId="3" applyFill="1" applyBorder="1" applyAlignment="1">
      <alignment vertical="top"/>
    </xf>
    <xf numFmtId="0" fontId="49" fillId="19" borderId="3" xfId="3" applyFill="1" applyBorder="1" applyAlignment="1">
      <alignment horizontal="center" vertical="top"/>
    </xf>
    <xf numFmtId="0" fontId="49" fillId="19" borderId="58" xfId="3" applyFill="1" applyBorder="1" applyAlignment="1">
      <alignment vertical="top"/>
    </xf>
    <xf numFmtId="0" fontId="49" fillId="19" borderId="58" xfId="3" applyFill="1" applyBorder="1" applyAlignment="1">
      <alignment horizontal="center" vertical="top"/>
    </xf>
    <xf numFmtId="0" fontId="49" fillId="19" borderId="58" xfId="3" applyFill="1" applyBorder="1" applyAlignment="1">
      <alignment vertical="top" wrapText="1"/>
    </xf>
    <xf numFmtId="0" fontId="49" fillId="19" borderId="59" xfId="3" applyFill="1" applyBorder="1" applyAlignment="1">
      <alignment vertical="top"/>
    </xf>
    <xf numFmtId="0" fontId="49" fillId="19" borderId="59" xfId="3" applyFill="1" applyBorder="1" applyAlignment="1">
      <alignment vertical="top" wrapText="1"/>
    </xf>
    <xf numFmtId="0" fontId="49" fillId="19" borderId="33" xfId="3" applyFill="1" applyBorder="1" applyAlignment="1">
      <alignment vertical="top"/>
    </xf>
    <xf numFmtId="0" fontId="49" fillId="19" borderId="33" xfId="3" applyFill="1" applyBorder="1" applyAlignment="1">
      <alignment vertical="top" wrapText="1"/>
    </xf>
    <xf numFmtId="0" fontId="52" fillId="19" borderId="0" xfId="3" applyFont="1" applyFill="1" applyAlignment="1">
      <alignment vertical="top"/>
    </xf>
    <xf numFmtId="0" fontId="44" fillId="15" borderId="0" xfId="0" applyFont="1" applyFill="1" applyAlignment="1">
      <alignment vertical="center"/>
    </xf>
    <xf numFmtId="0" fontId="0" fillId="0" borderId="0" xfId="0"/>
    <xf numFmtId="0" fontId="40" fillId="15" borderId="0" xfId="0" applyFont="1" applyFill="1" applyAlignment="1">
      <alignment vertical="center"/>
    </xf>
    <xf numFmtId="0" fontId="41" fillId="15" borderId="0" xfId="0" applyFont="1" applyFill="1" applyAlignment="1">
      <alignment vertical="center"/>
    </xf>
    <xf numFmtId="0" fontId="42" fillId="16" borderId="0" xfId="0" applyFont="1" applyFill="1" applyAlignment="1">
      <alignment vertical="center"/>
    </xf>
    <xf numFmtId="0" fontId="0" fillId="17" borderId="0" xfId="0" applyFill="1"/>
    <xf numFmtId="0" fontId="43" fillId="14" borderId="0" xfId="0" applyFont="1" applyFill="1" applyAlignment="1">
      <alignment wrapText="1"/>
    </xf>
    <xf numFmtId="0" fontId="43" fillId="14" borderId="0" xfId="0" applyFont="1" applyFill="1" applyAlignment="1">
      <alignment vertical="top" wrapText="1"/>
    </xf>
    <xf numFmtId="0" fontId="30" fillId="2" borderId="0" xfId="0" applyFont="1" applyFill="1" applyAlignment="1">
      <alignment vertical="center" indent="1"/>
    </xf>
    <xf numFmtId="0" fontId="30" fillId="2" borderId="0" xfId="0" applyFont="1" applyFill="1" applyAlignment="1">
      <alignment vertical="center"/>
    </xf>
    <xf numFmtId="0" fontId="34" fillId="8" borderId="0" xfId="0" applyFont="1" applyFill="1" applyAlignment="1">
      <alignment vertical="center" wrapText="1" indent="1"/>
    </xf>
    <xf numFmtId="0" fontId="34" fillId="8" borderId="0" xfId="0" applyFont="1" applyFill="1" applyAlignment="1">
      <alignment vertical="center" wrapText="1"/>
    </xf>
    <xf numFmtId="0" fontId="27" fillId="8" borderId="3" xfId="0" applyFont="1" applyFill="1" applyBorder="1" applyAlignment="1">
      <alignment horizontal="left" vertical="center" wrapText="1"/>
    </xf>
    <xf numFmtId="0" fontId="27" fillId="8" borderId="0" xfId="0" applyFont="1" applyFill="1" applyAlignment="1">
      <alignment horizontal="left" vertical="center" wrapText="1"/>
    </xf>
    <xf numFmtId="0" fontId="36" fillId="8" borderId="0" xfId="0" applyFont="1" applyFill="1" applyAlignment="1">
      <alignment horizontal="left" vertical="center" wrapText="1"/>
    </xf>
    <xf numFmtId="0" fontId="18" fillId="10" borderId="41" xfId="0" applyFont="1" applyFill="1" applyBorder="1" applyAlignment="1">
      <alignment horizontal="left" vertical="top" wrapText="1"/>
    </xf>
    <xf numFmtId="0" fontId="18" fillId="10" borderId="0" xfId="0" applyFont="1" applyFill="1" applyAlignment="1">
      <alignment horizontal="left" vertical="top" wrapText="1"/>
    </xf>
    <xf numFmtId="0" fontId="18" fillId="10" borderId="42" xfId="0" applyFont="1" applyFill="1" applyBorder="1" applyAlignment="1">
      <alignment horizontal="left" vertical="top" wrapText="1"/>
    </xf>
    <xf numFmtId="0" fontId="18" fillId="0" borderId="0" xfId="0" applyFont="1" applyAlignment="1">
      <alignment horizontal="left" vertical="center" wrapText="1"/>
    </xf>
    <xf numFmtId="0" fontId="16" fillId="9" borderId="0" xfId="0" applyFont="1" applyFill="1" applyAlignment="1">
      <alignment horizontal="left" vertical="center" wrapText="1"/>
    </xf>
    <xf numFmtId="0" fontId="16" fillId="13" borderId="0" xfId="0" applyFont="1" applyFill="1" applyAlignment="1">
      <alignment horizontal="left" vertical="center" wrapText="1"/>
    </xf>
    <xf numFmtId="0" fontId="31" fillId="0" borderId="0" xfId="1" applyFont="1" applyAlignment="1">
      <alignment horizontal="left" vertical="center" wrapText="1"/>
    </xf>
    <xf numFmtId="0" fontId="14" fillId="8" borderId="0" xfId="0" applyFont="1" applyFill="1" applyAlignment="1">
      <alignment horizontal="left" vertical="center" wrapText="1"/>
    </xf>
    <xf numFmtId="0" fontId="19" fillId="10" borderId="41" xfId="0" applyFont="1" applyFill="1" applyBorder="1" applyAlignment="1">
      <alignment vertical="center" wrapText="1" indent="1"/>
    </xf>
    <xf numFmtId="0" fontId="19" fillId="10" borderId="0" xfId="0" applyFont="1" applyFill="1" applyAlignment="1">
      <alignment vertical="center" wrapText="1"/>
    </xf>
    <xf numFmtId="0" fontId="19" fillId="10" borderId="42" xfId="0" applyFont="1" applyFill="1" applyBorder="1" applyAlignment="1">
      <alignment vertical="center" wrapText="1"/>
    </xf>
    <xf numFmtId="0" fontId="20" fillId="10" borderId="41" xfId="0" applyFont="1" applyFill="1" applyBorder="1" applyAlignment="1">
      <alignment vertical="top" wrapText="1" indent="1"/>
    </xf>
    <xf numFmtId="0" fontId="20" fillId="10" borderId="0" xfId="0" applyFont="1" applyFill="1" applyAlignment="1">
      <alignment vertical="top" wrapText="1"/>
    </xf>
    <xf numFmtId="0" fontId="20" fillId="10" borderId="42" xfId="0" applyFont="1" applyFill="1" applyBorder="1" applyAlignment="1">
      <alignment vertical="top" wrapText="1"/>
    </xf>
    <xf numFmtId="0" fontId="17" fillId="13" borderId="0" xfId="0" applyFont="1" applyFill="1" applyAlignment="1">
      <alignment vertical="center" wrapText="1" indent="1"/>
    </xf>
    <xf numFmtId="0" fontId="17" fillId="13" borderId="0" xfId="0" applyFont="1" applyFill="1" applyAlignment="1">
      <alignment vertical="center" wrapText="1"/>
    </xf>
    <xf numFmtId="0" fontId="18" fillId="11" borderId="44" xfId="0" applyFont="1" applyFill="1" applyBorder="1" applyAlignment="1">
      <alignment vertical="top" wrapText="1"/>
    </xf>
    <xf numFmtId="0" fontId="18" fillId="11" borderId="0" xfId="0" applyFont="1" applyFill="1" applyAlignment="1">
      <alignment vertical="top" wrapText="1"/>
    </xf>
    <xf numFmtId="0" fontId="18" fillId="11" borderId="45" xfId="0" applyFont="1" applyFill="1" applyBorder="1" applyAlignment="1">
      <alignment vertical="top" wrapText="1"/>
    </xf>
    <xf numFmtId="0" fontId="20" fillId="0" borderId="0" xfId="0" applyFont="1" applyAlignment="1">
      <alignment vertical="center" wrapText="1" indent="1"/>
    </xf>
    <xf numFmtId="0" fontId="20" fillId="0" borderId="0" xfId="0" applyFont="1" applyAlignment="1">
      <alignment vertical="center" wrapText="1"/>
    </xf>
    <xf numFmtId="0" fontId="18" fillId="9" borderId="0" xfId="0" applyFont="1" applyFill="1" applyAlignment="1">
      <alignment horizontal="left" vertical="center" wrapText="1"/>
    </xf>
    <xf numFmtId="0" fontId="18" fillId="13" borderId="0" xfId="0" applyFont="1" applyFill="1" applyAlignment="1">
      <alignment horizontal="left" vertical="center" wrapText="1"/>
    </xf>
    <xf numFmtId="0" fontId="21" fillId="5" borderId="46" xfId="0" applyFont="1" applyFill="1" applyBorder="1" applyAlignment="1">
      <alignment horizontal="left" vertical="center" wrapText="1"/>
    </xf>
    <xf numFmtId="0" fontId="21" fillId="5" borderId="0" xfId="0" applyFont="1" applyFill="1" applyAlignment="1">
      <alignment horizontal="left" vertical="center" wrapText="1"/>
    </xf>
    <xf numFmtId="0" fontId="21" fillId="5" borderId="47" xfId="0" applyFont="1" applyFill="1" applyBorder="1" applyAlignment="1">
      <alignment horizontal="left" vertical="center" wrapText="1"/>
    </xf>
    <xf numFmtId="0" fontId="16" fillId="5" borderId="46" xfId="0" applyFont="1" applyFill="1" applyBorder="1" applyAlignment="1">
      <alignment horizontal="left" vertical="top" wrapText="1"/>
    </xf>
    <xf numFmtId="0" fontId="16" fillId="5" borderId="0" xfId="0" applyFont="1" applyFill="1" applyAlignment="1">
      <alignment horizontal="left" vertical="top" wrapText="1"/>
    </xf>
    <xf numFmtId="0" fontId="16" fillId="5" borderId="47" xfId="0" applyFont="1" applyFill="1" applyBorder="1" applyAlignment="1">
      <alignment horizontal="left" vertical="top" wrapText="1"/>
    </xf>
    <xf numFmtId="0" fontId="14" fillId="8" borderId="0" xfId="0" applyFont="1" applyFill="1" applyAlignment="1">
      <alignment vertical="center" wrapText="1" indent="1"/>
    </xf>
    <xf numFmtId="0" fontId="14" fillId="8" borderId="0" xfId="0" applyFont="1" applyFill="1" applyAlignment="1">
      <alignment vertical="center" wrapText="1"/>
    </xf>
    <xf numFmtId="0" fontId="30" fillId="2" borderId="0" xfId="0" applyFont="1" applyFill="1" applyAlignment="1">
      <alignment horizontal="left" vertical="center" wrapText="1" indent="1"/>
    </xf>
    <xf numFmtId="0" fontId="30" fillId="2" borderId="0" xfId="0" applyFont="1" applyFill="1" applyAlignment="1">
      <alignment horizontal="left" vertical="center" wrapText="1"/>
    </xf>
    <xf numFmtId="0" fontId="16" fillId="0" borderId="0" xfId="0" applyFont="1" applyAlignment="1">
      <alignment vertical="top" wrapText="1" indent="1"/>
    </xf>
    <xf numFmtId="0" fontId="16" fillId="0" borderId="0" xfId="0" applyFont="1" applyAlignment="1">
      <alignment vertical="top" wrapText="1"/>
    </xf>
    <xf numFmtId="0" fontId="31" fillId="0" borderId="0" xfId="1" applyFont="1" applyAlignment="1">
      <alignment vertical="center" wrapText="1" indent="1"/>
    </xf>
    <xf numFmtId="0" fontId="31" fillId="0" borderId="0" xfId="1" applyFont="1" applyAlignment="1">
      <alignment vertical="center" wrapText="1"/>
    </xf>
    <xf numFmtId="0" fontId="11" fillId="0" borderId="0" xfId="1" applyAlignment="1">
      <alignment vertical="center" wrapText="1" indent="1"/>
    </xf>
    <xf numFmtId="0" fontId="11" fillId="0" borderId="0" xfId="1" applyAlignment="1">
      <alignment vertical="center" wrapText="1"/>
    </xf>
    <xf numFmtId="0" fontId="51" fillId="20" borderId="0" xfId="3" applyFont="1" applyFill="1" applyAlignment="1">
      <alignment vertical="center" wrapText="1" indent="1"/>
    </xf>
    <xf numFmtId="0" fontId="50" fillId="18" borderId="0" xfId="3" applyFont="1" applyFill="1" applyAlignment="1">
      <alignment horizontal="left" vertical="center" wrapText="1" indent="1"/>
    </xf>
    <xf numFmtId="0" fontId="52" fillId="0" borderId="0" xfId="3" applyFont="1" applyAlignment="1">
      <alignment vertical="center" wrapText="1" indent="1"/>
    </xf>
    <xf numFmtId="0" fontId="62" fillId="25" borderId="66" xfId="3" applyFont="1" applyFill="1" applyBorder="1" applyAlignment="1">
      <alignment vertical="center"/>
    </xf>
    <xf numFmtId="0" fontId="61" fillId="0" borderId="0" xfId="3" applyFont="1" applyAlignment="1">
      <alignment vertical="center" wrapText="1" indent="1"/>
    </xf>
    <xf numFmtId="0" fontId="63" fillId="25" borderId="66" xfId="3" applyFont="1" applyFill="1" applyBorder="1" applyAlignment="1">
      <alignment vertical="center"/>
    </xf>
    <xf numFmtId="0" fontId="64" fillId="25" borderId="66" xfId="3" applyFont="1" applyFill="1" applyBorder="1" applyAlignment="1">
      <alignment vertical="center"/>
    </xf>
    <xf numFmtId="0" fontId="65" fillId="25" borderId="66" xfId="3" applyFont="1" applyFill="1" applyBorder="1" applyAlignment="1">
      <alignment vertical="center"/>
    </xf>
    <xf numFmtId="0" fontId="56" fillId="24" borderId="0" xfId="3" applyFont="1" applyFill="1" applyAlignment="1">
      <alignment vertical="center" wrapText="1"/>
    </xf>
    <xf numFmtId="0" fontId="51" fillId="20" borderId="29" xfId="3" applyFont="1" applyFill="1" applyBorder="1" applyAlignment="1">
      <alignment vertical="center" wrapText="1" indent="1"/>
    </xf>
    <xf numFmtId="0" fontId="70" fillId="0" borderId="0" xfId="3" applyFont="1" applyAlignment="1">
      <alignment vertical="center" wrapText="1"/>
    </xf>
    <xf numFmtId="0" fontId="56" fillId="26" borderId="67" xfId="3" applyFont="1" applyFill="1" applyBorder="1" applyAlignment="1">
      <alignment vertical="center" wrapText="1" indent="1"/>
    </xf>
    <xf numFmtId="0" fontId="56" fillId="19" borderId="0" xfId="3" applyFont="1" applyFill="1" applyAlignment="1">
      <alignment vertical="center" wrapText="1"/>
    </xf>
    <xf numFmtId="0" fontId="70" fillId="26" borderId="57" xfId="3" applyFont="1" applyFill="1" applyBorder="1" applyAlignment="1">
      <alignment vertical="top" wrapText="1"/>
    </xf>
    <xf numFmtId="0" fontId="56" fillId="0" borderId="0" xfId="3" applyFont="1" applyAlignment="1">
      <alignment vertical="center"/>
    </xf>
    <xf numFmtId="0" fontId="52" fillId="24" borderId="0" xfId="3" applyFont="1" applyFill="1" applyAlignment="1">
      <alignment vertical="center" wrapText="1"/>
    </xf>
    <xf numFmtId="0" fontId="52" fillId="19" borderId="0" xfId="3" applyFont="1" applyFill="1" applyAlignment="1">
      <alignment vertical="center" wrapText="1"/>
    </xf>
    <xf numFmtId="0" fontId="51" fillId="20" borderId="0" xfId="3" applyFont="1" applyFill="1" applyAlignment="1">
      <alignment vertical="center" indent="1"/>
    </xf>
    <xf numFmtId="0" fontId="71" fillId="21" borderId="0" xfId="3" applyFont="1" applyFill="1" applyAlignment="1">
      <alignment vertical="center" indent="1"/>
    </xf>
    <xf numFmtId="0" fontId="72" fillId="0" borderId="0" xfId="3" applyFont="1" applyAlignment="1">
      <alignment vertical="center"/>
    </xf>
    <xf numFmtId="0" fontId="56" fillId="0" borderId="0" xfId="3" applyFont="1" applyAlignment="1">
      <alignment vertical="top"/>
    </xf>
    <xf numFmtId="0" fontId="52" fillId="27" borderId="0" xfId="3" applyFont="1" applyFill="1" applyAlignment="1">
      <alignment vertical="center" wrapText="1"/>
    </xf>
    <xf numFmtId="0" fontId="73" fillId="21" borderId="0" xfId="3" applyFont="1" applyFill="1" applyAlignment="1">
      <alignment horizontal="center" vertical="center"/>
    </xf>
    <xf numFmtId="0" fontId="74" fillId="22" borderId="0" xfId="3" applyFont="1" applyFill="1" applyAlignment="1">
      <alignment vertical="center"/>
    </xf>
    <xf numFmtId="0" fontId="52" fillId="23" borderId="0" xfId="3" applyFont="1" applyFill="1" applyAlignment="1">
      <alignment vertical="center" wrapText="1"/>
    </xf>
    <xf numFmtId="0" fontId="75" fillId="22" borderId="0" xfId="3" applyFont="1" applyFill="1" applyAlignment="1">
      <alignment horizontal="center" vertical="center"/>
    </xf>
    <xf numFmtId="0" fontId="76" fillId="23" borderId="0" xfId="3" applyFont="1" applyFill="1" applyAlignment="1">
      <alignment vertical="center"/>
    </xf>
    <xf numFmtId="0" fontId="80" fillId="20" borderId="0" xfId="3" applyFont="1" applyFill="1" applyAlignment="1">
      <alignment vertical="center" wrapText="1" indent="1"/>
    </xf>
    <xf numFmtId="0" fontId="77" fillId="23" borderId="0" xfId="3" applyFont="1" applyFill="1" applyAlignment="1">
      <alignment horizontal="center" vertical="center"/>
    </xf>
    <xf numFmtId="0" fontId="78" fillId="20" borderId="0" xfId="3" applyFont="1" applyFill="1" applyAlignment="1">
      <alignment vertical="center" wrapText="1"/>
    </xf>
    <xf numFmtId="0" fontId="79" fillId="20" borderId="0" xfId="3" applyFont="1" applyFill="1" applyAlignment="1">
      <alignment vertical="center" wrapText="1" indent="1"/>
    </xf>
    <xf numFmtId="0" fontId="32" fillId="2" borderId="63" xfId="2" applyFont="1" applyFill="1" applyBorder="1" applyAlignment="1">
      <alignment horizontal="left" vertical="center" indent="1"/>
    </xf>
    <xf numFmtId="0" fontId="32" fillId="2" borderId="64" xfId="2" applyFont="1" applyFill="1" applyBorder="1" applyAlignment="1">
      <alignment horizontal="left" vertical="center"/>
    </xf>
  </cellXfs>
  <cellStyles count="4">
    <cellStyle name="Hyperlink" xfId="1" builtinId="8"/>
    <cellStyle name="Normal" xfId="0" builtinId="0"/>
    <cellStyle name="Normal 2" xfId="2" xr:uid="{308AD68B-7CF1-4543-82CC-05C152874E6D}"/>
    <cellStyle name="Normal 3" xfId="3" xr:uid="{49D19B68-F3E7-474D-92DD-439E6ECE3BD4}"/>
  </cellStyles>
  <dxfs count="0"/>
  <tableStyles count="0" defaultTableStyle="TableStyleMedium2" defaultPivotStyle="PivotStyleLight16"/>
  <colors>
    <mruColors>
      <color rgb="FFC6EFCE"/>
      <color rgb="FFFFC7CE"/>
      <color rgb="FFFFEB9C"/>
      <color rgb="FF4472C4"/>
      <color rgb="FF006100"/>
      <color rgb="FF9C5700"/>
      <color rgb="FFED7D31"/>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rgbClr val="C6EFCE"/>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rgbClr val="FFEB9C"/>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rgbClr val="FFC7CE"/>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 Fully Implemented</c:v>
                </c:pt>
                <c:pt idx="1">
                  <c:v>◐ Partially Implemented</c:v>
                </c:pt>
                <c:pt idx="2">
                  <c:v>✗ Not Documented</c:v>
                </c:pt>
              </c:strCache>
            </c:strRef>
          </c:cat>
          <c:val>
            <c:numRef>
              <c:f>Summary!$B$4:$B$6</c:f>
              <c:numCache>
                <c:formatCode>General</c:formatCode>
                <c:ptCount val="3"/>
                <c:pt idx="0">
                  <c:v>3</c:v>
                </c:pt>
                <c:pt idx="1">
                  <c:v>10</c:v>
                </c:pt>
                <c:pt idx="2">
                  <c:v>6</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rgbClr val="C6EF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Summary!$B$10:$B$16</c:f>
              <c:numCache>
                <c:formatCode>General</c:formatCode>
                <c:ptCount val="7"/>
                <c:pt idx="0">
                  <c:v>2</c:v>
                </c:pt>
                <c:pt idx="1">
                  <c:v>0</c:v>
                </c:pt>
                <c:pt idx="2">
                  <c:v>0</c:v>
                </c:pt>
                <c:pt idx="3">
                  <c:v>1</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Implemented</c:v>
                </c:pt>
              </c:strCache>
            </c:strRef>
          </c:tx>
          <c:spPr>
            <a:solidFill>
              <a:srgbClr val="FFEB9C"/>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Summary!$C$10:$C$16</c:f>
              <c:numCache>
                <c:formatCode>General</c:formatCode>
                <c:ptCount val="7"/>
                <c:pt idx="0">
                  <c:v>3</c:v>
                </c:pt>
                <c:pt idx="1">
                  <c:v>4</c:v>
                </c:pt>
                <c:pt idx="2">
                  <c:v>1</c:v>
                </c:pt>
                <c:pt idx="3">
                  <c:v>0</c:v>
                </c:pt>
                <c:pt idx="4">
                  <c:v>1</c:v>
                </c:pt>
                <c:pt idx="5">
                  <c:v>1</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rgbClr val="FFC7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Summary!$D$10:$D$16</c:f>
              <c:numCache>
                <c:formatCode>General</c:formatCode>
                <c:ptCount val="7"/>
                <c:pt idx="0">
                  <c:v>0</c:v>
                </c:pt>
                <c:pt idx="1">
                  <c:v>4</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13</xdr:col>
      <xdr:colOff>63500</xdr:colOff>
      <xdr:row>16</xdr:row>
      <xdr:rowOff>152400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13</xdr:col>
      <xdr:colOff>25400</xdr:colOff>
      <xdr:row>35</xdr:row>
      <xdr:rowOff>12700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claude.fileId" value="&quot;35da465a-ae9a-4cf8-b742-b8c99c9342b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hyperlink" Target="mailto:rekasp@protonmail.com" TargetMode="External"/><Relationship Id="rId3" Type="http://schemas.openxmlformats.org/officeDocument/2006/relationships/hyperlink" Target="https://github.com/paulrekaris/TGA-COVID19-Vaccine-Safety-Monitoring-Audit/blob/main/analysis/ISO-19011-conformity-assessment-checklist.md" TargetMode="External"/><Relationship Id="rId7" Type="http://schemas.openxmlformats.org/officeDocument/2006/relationships/hyperlink" Target="https://creativecommons.org/licenses/by/4.0/" TargetMode="External"/><Relationship Id="rId2" Type="http://schemas.openxmlformats.org/officeDocument/2006/relationships/hyperlink" Target="https://github.com/paulrekaris/TGA-COVID19-Vaccine-Safety-Monitoring-Audit/blob/main/audit-governance/regulatory-accountability-audit-framework.md" TargetMode="External"/><Relationship Id="rId1" Type="http://schemas.openxmlformats.org/officeDocument/2006/relationships/hyperlink" Target="https://github.com/paulrekaris/TGA-COVID19-Vaccine-Safety-Monitoring-Audit" TargetMode="External"/><Relationship Id="rId6" Type="http://schemas.openxmlformats.org/officeDocument/2006/relationships/hyperlink" Target="https://www.aph.gov.au/Parliamentary_Business/Hansard/Hansard_Display?bid=chamber%2Fhansards%2F29212%2F&amp;sid=0000" TargetMode="External"/><Relationship Id="rId5" Type="http://schemas.openxmlformats.org/officeDocument/2006/relationships/hyperlink" Target="https://github.com/paulrekaris/TGA-COVID19-Vaccine-Safety-Monitoring-Audit/blob/main/analysis/replication-readme.md" TargetMode="External"/><Relationship Id="rId4" Type="http://schemas.openxmlformats.org/officeDocument/2006/relationships/hyperlink" Target="https://github.com/paulrekaris/TGA-COVID19-Vaccine-Safety-Monitoring-Audit/blob/main/analysis/dataset-codebook.md" TargetMode="External"/><Relationship Id="rId9" Type="http://schemas.openxmlformats.org/officeDocument/2006/relationships/hyperlink" Target="https://github.com/paulrekaris/TGA-COVID19-Vaccine-Safety-Monitoring-Audi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hyperlink" Target="repository:%20https://github.com/paulrekaris/TGA-COVID19-Vaccine-Safety-Monitoring-Audit" TargetMode="External"/><Relationship Id="rId2" Type="http://schemas.openxmlformats.org/officeDocument/2006/relationships/hyperlink" Target="https://github.com/paulrekaris/TGA-COVID19-Vaccine-Safety-Monitoring-Audit/blob/main/analysis/ISO-19011-conformity-assessment-checklist.md" TargetMode="External"/><Relationship Id="rId1" Type="http://schemas.openxmlformats.org/officeDocument/2006/relationships/hyperlink" Target="https://github.com/paulrekaris/TGA-COVID19-Vaccine-Safety-Monitoring-Audit/blob/main/analysis/ISO-19011-conformity-assessment-checklist.m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C4C7B-6756-6D43-888E-184255CFCC4C}">
  <dimension ref="A1:B44"/>
  <sheetViews>
    <sheetView tabSelected="1" workbookViewId="0">
      <selection activeCell="A3" sqref="A3:B3"/>
    </sheetView>
  </sheetViews>
  <sheetFormatPr baseColWidth="10" defaultColWidth="8.83203125" defaultRowHeight="16" x14ac:dyDescent="0.2"/>
  <cols>
    <col min="1" max="1" width="36" customWidth="1"/>
    <col min="2" max="2" width="90" customWidth="1"/>
    <col min="3" max="3" width="4" customWidth="1"/>
  </cols>
  <sheetData>
    <row r="1" spans="1:2" ht="32" customHeight="1" x14ac:dyDescent="0.2">
      <c r="A1" s="213" t="s">
        <v>397</v>
      </c>
      <c r="B1" s="212"/>
    </row>
    <row r="2" spans="1:2" ht="26" customHeight="1" x14ac:dyDescent="0.2">
      <c r="A2" s="214" t="s">
        <v>398</v>
      </c>
      <c r="B2" s="212"/>
    </row>
    <row r="3" spans="1:2" ht="20" customHeight="1" x14ac:dyDescent="0.2">
      <c r="A3" s="215" t="s">
        <v>515</v>
      </c>
      <c r="B3" s="212"/>
    </row>
    <row r="4" spans="1:2" ht="6" customHeight="1" x14ac:dyDescent="0.2">
      <c r="A4" s="216"/>
      <c r="B4" s="212"/>
    </row>
    <row r="5" spans="1:2" ht="88" customHeight="1" x14ac:dyDescent="0.2">
      <c r="A5" s="217" t="s">
        <v>449</v>
      </c>
      <c r="B5" s="212"/>
    </row>
    <row r="6" spans="1:2" ht="10" customHeight="1" x14ac:dyDescent="0.2"/>
    <row r="7" spans="1:2" ht="24" customHeight="1" x14ac:dyDescent="0.2">
      <c r="A7" s="211" t="s">
        <v>399</v>
      </c>
      <c r="B7" s="212"/>
    </row>
    <row r="8" spans="1:2" ht="4" customHeight="1" x14ac:dyDescent="0.2"/>
    <row r="9" spans="1:2" ht="20" customHeight="1" x14ac:dyDescent="0.2">
      <c r="A9" s="135" t="s">
        <v>400</v>
      </c>
      <c r="B9" s="135" t="s">
        <v>202</v>
      </c>
    </row>
    <row r="10" spans="1:2" ht="20" customHeight="1" x14ac:dyDescent="0.2">
      <c r="A10" s="136" t="s">
        <v>0</v>
      </c>
      <c r="B10" s="137" t="s">
        <v>401</v>
      </c>
    </row>
    <row r="11" spans="1:2" ht="20" customHeight="1" x14ac:dyDescent="0.2">
      <c r="A11" s="138" t="s">
        <v>1</v>
      </c>
      <c r="B11" s="139" t="s">
        <v>402</v>
      </c>
    </row>
    <row r="12" spans="1:2" ht="20" customHeight="1" x14ac:dyDescent="0.2">
      <c r="A12" s="136" t="s">
        <v>308</v>
      </c>
      <c r="B12" s="137" t="s">
        <v>403</v>
      </c>
    </row>
    <row r="13" spans="1:2" ht="20" customHeight="1" x14ac:dyDescent="0.2">
      <c r="A13" s="138" t="s">
        <v>3</v>
      </c>
      <c r="B13" s="139" t="s">
        <v>404</v>
      </c>
    </row>
    <row r="14" spans="1:2" ht="20" customHeight="1" x14ac:dyDescent="0.2">
      <c r="A14" s="136" t="s">
        <v>450</v>
      </c>
      <c r="B14" s="137" t="s">
        <v>405</v>
      </c>
    </row>
    <row r="15" spans="1:2" ht="20" customHeight="1" x14ac:dyDescent="0.2">
      <c r="A15" s="138" t="s">
        <v>5</v>
      </c>
      <c r="B15" s="139" t="s">
        <v>406</v>
      </c>
    </row>
    <row r="16" spans="1:2" ht="20" customHeight="1" x14ac:dyDescent="0.2">
      <c r="A16" s="136" t="s">
        <v>6</v>
      </c>
      <c r="B16" s="137" t="s">
        <v>407</v>
      </c>
    </row>
    <row r="17" spans="1:2" ht="10" customHeight="1" x14ac:dyDescent="0.2"/>
    <row r="18" spans="1:2" ht="24" customHeight="1" x14ac:dyDescent="0.2">
      <c r="A18" s="211" t="s">
        <v>408</v>
      </c>
      <c r="B18" s="212"/>
    </row>
    <row r="19" spans="1:2" ht="4" customHeight="1" x14ac:dyDescent="0.2"/>
    <row r="20" spans="1:2" ht="20" customHeight="1" x14ac:dyDescent="0.2">
      <c r="A20" s="136" t="s">
        <v>409</v>
      </c>
      <c r="B20" s="140" t="s">
        <v>410</v>
      </c>
    </row>
    <row r="21" spans="1:2" ht="30" x14ac:dyDescent="0.2">
      <c r="A21" s="138" t="s">
        <v>411</v>
      </c>
      <c r="B21" s="141" t="s">
        <v>412</v>
      </c>
    </row>
    <row r="22" spans="1:2" ht="30" x14ac:dyDescent="0.2">
      <c r="A22" s="136" t="s">
        <v>413</v>
      </c>
      <c r="B22" s="140" t="s">
        <v>414</v>
      </c>
    </row>
    <row r="23" spans="1:2" ht="30" x14ac:dyDescent="0.2">
      <c r="A23" s="138" t="s">
        <v>415</v>
      </c>
      <c r="B23" s="141" t="s">
        <v>416</v>
      </c>
    </row>
    <row r="24" spans="1:2" ht="30" x14ac:dyDescent="0.2">
      <c r="A24" s="136" t="s">
        <v>417</v>
      </c>
      <c r="B24" s="140" t="s">
        <v>418</v>
      </c>
    </row>
    <row r="25" spans="1:2" ht="10" customHeight="1" x14ac:dyDescent="0.2"/>
    <row r="26" spans="1:2" ht="24" customHeight="1" x14ac:dyDescent="0.2">
      <c r="A26" s="211" t="s">
        <v>419</v>
      </c>
      <c r="B26" s="212"/>
    </row>
    <row r="27" spans="1:2" ht="4" customHeight="1" x14ac:dyDescent="0.2"/>
    <row r="28" spans="1:2" ht="20" customHeight="1" x14ac:dyDescent="0.2">
      <c r="A28" s="136" t="s">
        <v>420</v>
      </c>
      <c r="B28" s="142" t="s">
        <v>421</v>
      </c>
    </row>
    <row r="29" spans="1:2" ht="20" customHeight="1" x14ac:dyDescent="0.2">
      <c r="A29" s="138" t="s">
        <v>422</v>
      </c>
      <c r="B29" s="143" t="s">
        <v>423</v>
      </c>
    </row>
    <row r="30" spans="1:2" ht="20" customHeight="1" x14ac:dyDescent="0.2">
      <c r="A30" s="136" t="s">
        <v>424</v>
      </c>
      <c r="B30" s="142" t="s">
        <v>425</v>
      </c>
    </row>
    <row r="31" spans="1:2" ht="20" customHeight="1" x14ac:dyDescent="0.2">
      <c r="A31" s="138" t="s">
        <v>426</v>
      </c>
      <c r="B31" s="139" t="s">
        <v>427</v>
      </c>
    </row>
    <row r="32" spans="1:2" ht="20" customHeight="1" x14ac:dyDescent="0.2">
      <c r="A32" s="136" t="s">
        <v>428</v>
      </c>
      <c r="B32" s="140" t="s">
        <v>440</v>
      </c>
    </row>
    <row r="33" spans="1:2" ht="10" customHeight="1" x14ac:dyDescent="0.2"/>
    <row r="34" spans="1:2" ht="24" customHeight="1" x14ac:dyDescent="0.2">
      <c r="A34" s="211" t="s">
        <v>429</v>
      </c>
      <c r="B34" s="212"/>
    </row>
    <row r="35" spans="1:2" ht="4" customHeight="1" x14ac:dyDescent="0.2"/>
    <row r="36" spans="1:2" ht="20" customHeight="1" x14ac:dyDescent="0.2">
      <c r="A36" s="136" t="s">
        <v>430</v>
      </c>
      <c r="B36" s="140" t="s">
        <v>431</v>
      </c>
    </row>
    <row r="37" spans="1:2" ht="34" customHeight="1" x14ac:dyDescent="0.2">
      <c r="A37" s="138" t="s">
        <v>432</v>
      </c>
      <c r="B37" s="139" t="s">
        <v>484</v>
      </c>
    </row>
    <row r="38" spans="1:2" ht="20" customHeight="1" x14ac:dyDescent="0.2">
      <c r="A38" s="136" t="s">
        <v>433</v>
      </c>
      <c r="B38" s="140" t="s">
        <v>434</v>
      </c>
    </row>
    <row r="39" spans="1:2" ht="10" customHeight="1" x14ac:dyDescent="0.2"/>
    <row r="40" spans="1:2" ht="24" customHeight="1" x14ac:dyDescent="0.2">
      <c r="A40" s="211" t="s">
        <v>435</v>
      </c>
      <c r="B40" s="212"/>
    </row>
    <row r="41" spans="1:2" ht="4" customHeight="1" x14ac:dyDescent="0.2"/>
    <row r="42" spans="1:2" ht="36" customHeight="1" x14ac:dyDescent="0.2">
      <c r="A42" s="218" t="s">
        <v>436</v>
      </c>
      <c r="B42" s="212"/>
    </row>
    <row r="43" spans="1:2" ht="4" customHeight="1" x14ac:dyDescent="0.2"/>
    <row r="44" spans="1:2" ht="20" customHeight="1" x14ac:dyDescent="0.2">
      <c r="A44" s="138" t="s">
        <v>437</v>
      </c>
      <c r="B44" s="141" t="s">
        <v>438</v>
      </c>
    </row>
  </sheetData>
  <mergeCells count="11">
    <mergeCell ref="A18:B18"/>
    <mergeCell ref="A26:B26"/>
    <mergeCell ref="A34:B34"/>
    <mergeCell ref="A40:B40"/>
    <mergeCell ref="A42:B42"/>
    <mergeCell ref="A7:B7"/>
    <mergeCell ref="A1:B1"/>
    <mergeCell ref="A2:B2"/>
    <mergeCell ref="A3:B3"/>
    <mergeCell ref="A4:B4"/>
    <mergeCell ref="A5:B5"/>
  </mergeCells>
  <hyperlinks>
    <hyperlink ref="B20" r:id="rId1" location="readme" xr:uid="{BA01755E-B181-7646-866E-9C201D178CA6}"/>
    <hyperlink ref="B21" r:id="rId2" xr:uid="{77D67B61-03E7-2E44-B6DC-023351F3B26A}"/>
    <hyperlink ref="B22" r:id="rId3" xr:uid="{338ED261-6133-EE40-8A0B-DE30E056F001}"/>
    <hyperlink ref="B23" r:id="rId4" xr:uid="{95FC96FE-6B69-E444-83A5-D89622BF6F6C}"/>
    <hyperlink ref="B24" r:id="rId5" xr:uid="{849C5B81-E319-6747-8C5F-C9EB297566C4}"/>
    <hyperlink ref="B32" r:id="rId6" xr:uid="{78585BAD-AC3A-B44E-9FE9-38FFAE9431F0}"/>
    <hyperlink ref="B36" r:id="rId7" xr:uid="{D8CBBCBC-8188-E144-96F9-2C83F32DC170}"/>
    <hyperlink ref="B38" r:id="rId8" xr:uid="{D092626F-0D12-C645-A3E5-4F2C6F7E757C}"/>
    <hyperlink ref="B44" r:id="rId9" location="limitations-and-falsifiability" xr:uid="{2EAB0FD8-35FD-2A44-BBC7-DF74628C05B3}"/>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30"/>
  <sheetViews>
    <sheetView workbookViewId="0">
      <pane ySplit="1" topLeftCell="A10" activePane="bottomLeft" state="frozen"/>
      <selection pane="bottomLeft" activeCell="B33" sqref="B33"/>
    </sheetView>
  </sheetViews>
  <sheetFormatPr baseColWidth="10" defaultRowHeight="16" x14ac:dyDescent="0.2"/>
  <cols>
    <col min="1" max="1" width="32.33203125" customWidth="1"/>
    <col min="2" max="5" width="20" customWidth="1"/>
  </cols>
  <sheetData>
    <row r="1" spans="1:5" ht="45" customHeight="1" x14ac:dyDescent="0.2">
      <c r="A1" s="219" t="s">
        <v>82</v>
      </c>
      <c r="B1" s="220"/>
      <c r="C1" s="220"/>
      <c r="D1" s="220"/>
      <c r="E1" s="220"/>
    </row>
    <row r="2" spans="1:5" ht="10" customHeight="1" thickBot="1" x14ac:dyDescent="0.25">
      <c r="A2" s="61"/>
      <c r="B2" s="61"/>
      <c r="C2" s="61"/>
      <c r="D2" s="61"/>
      <c r="E2" s="61"/>
    </row>
    <row r="3" spans="1:5" ht="30" customHeight="1" thickBot="1" x14ac:dyDescent="0.25">
      <c r="A3" s="62" t="s">
        <v>83</v>
      </c>
      <c r="B3" s="63" t="s">
        <v>84</v>
      </c>
      <c r="C3" s="64" t="s">
        <v>85</v>
      </c>
      <c r="D3" s="64"/>
      <c r="E3" s="64"/>
    </row>
    <row r="4" spans="1:5" ht="24" customHeight="1" x14ac:dyDescent="0.2">
      <c r="A4" s="65" t="s">
        <v>310</v>
      </c>
      <c r="B4" s="66">
        <v>3</v>
      </c>
      <c r="C4" s="90">
        <f>B4/B7</f>
        <v>0.15789473684210525</v>
      </c>
    </row>
    <row r="5" spans="1:5" ht="24" customHeight="1" x14ac:dyDescent="0.2">
      <c r="A5" s="67" t="s">
        <v>333</v>
      </c>
      <c r="B5" s="68">
        <v>10</v>
      </c>
      <c r="C5" s="91">
        <f>B5/B7</f>
        <v>0.52631578947368418</v>
      </c>
    </row>
    <row r="6" spans="1:5" ht="24" customHeight="1" thickBot="1" x14ac:dyDescent="0.25">
      <c r="A6" s="69" t="s">
        <v>321</v>
      </c>
      <c r="B6" s="68">
        <v>6</v>
      </c>
      <c r="C6" s="91">
        <f>B6/B7</f>
        <v>0.31578947368421051</v>
      </c>
    </row>
    <row r="7" spans="1:5" ht="24" customHeight="1" thickBot="1" x14ac:dyDescent="0.25">
      <c r="A7" s="70" t="s">
        <v>86</v>
      </c>
      <c r="B7" s="71">
        <f>SUM(B4:B6)</f>
        <v>19</v>
      </c>
      <c r="C7" s="92">
        <f>SUM(C4:C6)</f>
        <v>0.99999999999999989</v>
      </c>
    </row>
    <row r="8" spans="1:5" ht="14" customHeight="1" x14ac:dyDescent="0.2">
      <c r="A8" s="61"/>
      <c r="B8" s="61"/>
      <c r="C8" s="61"/>
      <c r="D8" s="61"/>
      <c r="E8" s="61"/>
    </row>
    <row r="9" spans="1:5" ht="30" customHeight="1" thickBot="1" x14ac:dyDescent="0.25">
      <c r="A9" s="72" t="s">
        <v>87</v>
      </c>
      <c r="B9" s="58" t="s">
        <v>8</v>
      </c>
      <c r="C9" s="59" t="s">
        <v>208</v>
      </c>
      <c r="D9" s="60" t="s">
        <v>34</v>
      </c>
      <c r="E9" s="73" t="s">
        <v>88</v>
      </c>
    </row>
    <row r="10" spans="1:5" ht="24" customHeight="1" x14ac:dyDescent="0.2">
      <c r="A10" s="74" t="s">
        <v>372</v>
      </c>
      <c r="B10" s="75">
        <v>2</v>
      </c>
      <c r="C10" s="75">
        <v>3</v>
      </c>
      <c r="D10" s="75">
        <v>0</v>
      </c>
      <c r="E10" s="76">
        <f>SUM(B10:D10)</f>
        <v>5</v>
      </c>
    </row>
    <row r="11" spans="1:5" ht="24" customHeight="1" x14ac:dyDescent="0.2">
      <c r="A11" s="77" t="s">
        <v>454</v>
      </c>
      <c r="B11" s="68">
        <v>0</v>
      </c>
      <c r="C11" s="68">
        <v>4</v>
      </c>
      <c r="D11" s="68">
        <v>4</v>
      </c>
      <c r="E11" s="78">
        <f t="shared" ref="E11:E16" si="0">SUM(B11:D11)</f>
        <v>8</v>
      </c>
    </row>
    <row r="12" spans="1:5" ht="24" customHeight="1" x14ac:dyDescent="0.2">
      <c r="A12" s="79" t="s">
        <v>455</v>
      </c>
      <c r="B12" s="80">
        <v>0</v>
      </c>
      <c r="C12" s="80">
        <v>1</v>
      </c>
      <c r="D12" s="80">
        <v>0</v>
      </c>
      <c r="E12" s="81">
        <f t="shared" si="0"/>
        <v>1</v>
      </c>
    </row>
    <row r="13" spans="1:5" ht="24" customHeight="1" x14ac:dyDescent="0.2">
      <c r="A13" s="82" t="s">
        <v>371</v>
      </c>
      <c r="B13" s="68">
        <v>1</v>
      </c>
      <c r="C13" s="68">
        <v>0</v>
      </c>
      <c r="D13" s="68">
        <v>0</v>
      </c>
      <c r="E13" s="78">
        <v>1</v>
      </c>
    </row>
    <row r="14" spans="1:5" ht="24" customHeight="1" x14ac:dyDescent="0.2">
      <c r="A14" s="79" t="s">
        <v>373</v>
      </c>
      <c r="B14" s="80">
        <v>0</v>
      </c>
      <c r="C14" s="80">
        <v>1</v>
      </c>
      <c r="D14" s="80">
        <v>0</v>
      </c>
      <c r="E14" s="81">
        <v>1</v>
      </c>
    </row>
    <row r="15" spans="1:5" ht="24" customHeight="1" x14ac:dyDescent="0.2">
      <c r="A15" s="82" t="s">
        <v>393</v>
      </c>
      <c r="B15" s="68">
        <v>0</v>
      </c>
      <c r="C15" s="68">
        <v>1</v>
      </c>
      <c r="D15" s="68">
        <v>0</v>
      </c>
      <c r="E15" s="78">
        <v>1</v>
      </c>
    </row>
    <row r="16" spans="1:5" ht="24" customHeight="1" thickBot="1" x14ac:dyDescent="0.25">
      <c r="A16" s="79" t="s">
        <v>73</v>
      </c>
      <c r="B16" s="80">
        <v>0</v>
      </c>
      <c r="C16" s="80">
        <v>0</v>
      </c>
      <c r="D16" s="80">
        <v>2</v>
      </c>
      <c r="E16" s="81">
        <f t="shared" si="0"/>
        <v>2</v>
      </c>
    </row>
    <row r="17" spans="1:5" ht="24" customHeight="1" thickBot="1" x14ac:dyDescent="0.25">
      <c r="A17" s="83" t="s">
        <v>86</v>
      </c>
      <c r="B17" s="84">
        <f>SUM(B10:B16)</f>
        <v>3</v>
      </c>
      <c r="C17" s="84">
        <f>SUM(C10:C16)</f>
        <v>10</v>
      </c>
      <c r="D17" s="84">
        <f>SUM(D10:D16)</f>
        <v>6</v>
      </c>
      <c r="E17" s="85">
        <f>SUM(E10:E16)</f>
        <v>19</v>
      </c>
    </row>
    <row r="18" spans="1:5" ht="14" customHeight="1" x14ac:dyDescent="0.2">
      <c r="A18" s="61"/>
      <c r="B18" s="61"/>
      <c r="C18" s="61"/>
      <c r="D18" s="61"/>
      <c r="E18" s="61"/>
    </row>
    <row r="19" spans="1:5" ht="30" customHeight="1" thickBot="1" x14ac:dyDescent="0.25">
      <c r="A19" s="72" t="s">
        <v>89</v>
      </c>
      <c r="B19" s="73" t="s">
        <v>84</v>
      </c>
      <c r="C19" s="73" t="s">
        <v>90</v>
      </c>
      <c r="D19" s="73" t="s">
        <v>91</v>
      </c>
      <c r="E19" s="73" t="s">
        <v>92</v>
      </c>
    </row>
    <row r="20" spans="1:5" ht="24" customHeight="1" x14ac:dyDescent="0.2">
      <c r="A20" s="74" t="s">
        <v>372</v>
      </c>
      <c r="B20" s="66">
        <v>5</v>
      </c>
      <c r="C20" s="86">
        <v>2.2000000000000002</v>
      </c>
      <c r="D20" s="66">
        <v>1</v>
      </c>
      <c r="E20" s="87">
        <v>3</v>
      </c>
    </row>
    <row r="21" spans="1:5" ht="24" customHeight="1" x14ac:dyDescent="0.2">
      <c r="A21" s="77" t="s">
        <v>454</v>
      </c>
      <c r="B21" s="68">
        <v>8</v>
      </c>
      <c r="C21" s="88">
        <v>4.25</v>
      </c>
      <c r="D21" s="68">
        <v>3</v>
      </c>
      <c r="E21" s="89">
        <v>5</v>
      </c>
    </row>
    <row r="22" spans="1:5" ht="24" customHeight="1" x14ac:dyDescent="0.2">
      <c r="A22" s="79" t="s">
        <v>455</v>
      </c>
      <c r="B22" s="68">
        <v>1</v>
      </c>
      <c r="C22" s="88">
        <v>4</v>
      </c>
      <c r="D22" s="68">
        <v>4</v>
      </c>
      <c r="E22" s="89">
        <v>4</v>
      </c>
    </row>
    <row r="23" spans="1:5" ht="24" customHeight="1" x14ac:dyDescent="0.2">
      <c r="A23" s="82" t="s">
        <v>371</v>
      </c>
      <c r="B23" s="68">
        <v>1</v>
      </c>
      <c r="C23" s="88">
        <v>1</v>
      </c>
      <c r="D23" s="68">
        <v>1</v>
      </c>
      <c r="E23" s="89">
        <v>1</v>
      </c>
    </row>
    <row r="24" spans="1:5" ht="24" customHeight="1" x14ac:dyDescent="0.2">
      <c r="A24" s="79" t="s">
        <v>373</v>
      </c>
      <c r="B24" s="68">
        <v>1</v>
      </c>
      <c r="C24" s="88">
        <v>3</v>
      </c>
      <c r="D24" s="68">
        <v>3</v>
      </c>
      <c r="E24" s="89">
        <v>3</v>
      </c>
    </row>
    <row r="25" spans="1:5" ht="24" customHeight="1" x14ac:dyDescent="0.2">
      <c r="A25" s="82" t="s">
        <v>393</v>
      </c>
      <c r="B25" s="68">
        <v>1</v>
      </c>
      <c r="C25" s="88">
        <v>3</v>
      </c>
      <c r="D25" s="68">
        <v>3</v>
      </c>
      <c r="E25" s="89">
        <v>3</v>
      </c>
    </row>
    <row r="26" spans="1:5" ht="35" thickBot="1" x14ac:dyDescent="0.25">
      <c r="A26" s="144" t="s">
        <v>451</v>
      </c>
      <c r="B26" s="68">
        <v>2</v>
      </c>
      <c r="C26" s="88">
        <v>5</v>
      </c>
      <c r="D26" s="68">
        <v>5</v>
      </c>
      <c r="E26" s="89">
        <v>5</v>
      </c>
    </row>
    <row r="27" spans="1:5" ht="24" customHeight="1" thickBot="1" x14ac:dyDescent="0.25">
      <c r="A27" s="83" t="s">
        <v>93</v>
      </c>
      <c r="B27" s="84">
        <f>SUM(B20:B26)</f>
        <v>19</v>
      </c>
      <c r="C27" s="131">
        <f>SUMPRODUCT(B20:B26,C20:C26)/SUM(B20:B26)</f>
        <v>3.4736842105263159</v>
      </c>
      <c r="D27" s="84">
        <v>3</v>
      </c>
      <c r="E27" s="85">
        <v>5</v>
      </c>
    </row>
    <row r="30" spans="1:5" x14ac:dyDescent="0.2">
      <c r="A30" s="221" t="s">
        <v>452</v>
      </c>
      <c r="B30" s="222"/>
      <c r="C30" s="222"/>
      <c r="D30" s="222"/>
      <c r="E30" s="222"/>
    </row>
  </sheetData>
  <mergeCells count="2">
    <mergeCell ref="A1:E1"/>
    <mergeCell ref="A30:E30"/>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3"/>
  <sheetViews>
    <sheetView workbookViewId="0">
      <pane ySplit="1" topLeftCell="A93" activePane="bottomLeft" state="frozen"/>
      <selection pane="bottomLeft" activeCell="C16" sqref="C16"/>
    </sheetView>
  </sheetViews>
  <sheetFormatPr baseColWidth="10" defaultRowHeight="16" x14ac:dyDescent="0.2"/>
  <cols>
    <col min="1" max="1" width="20.5" style="1" customWidth="1"/>
    <col min="2" max="2" width="46.6640625" style="1" customWidth="1"/>
    <col min="3" max="3" width="50" style="1" customWidth="1"/>
    <col min="4" max="4" width="41.6640625" style="1" customWidth="1"/>
    <col min="5" max="12" width="10.83203125" style="1"/>
    <col min="13" max="16384" width="10.83203125" style="4"/>
  </cols>
  <sheetData>
    <row r="1" spans="1:4" ht="45" customHeight="1" x14ac:dyDescent="0.2">
      <c r="A1" s="257" t="s">
        <v>197</v>
      </c>
      <c r="B1" s="258"/>
      <c r="C1" s="258"/>
      <c r="D1" s="258"/>
    </row>
    <row r="2" spans="1:4" ht="8" customHeight="1" x14ac:dyDescent="0.2">
      <c r="A2" s="42"/>
      <c r="B2" s="42"/>
      <c r="C2" s="42"/>
      <c r="D2" s="42"/>
    </row>
    <row r="3" spans="1:4" ht="32" customHeight="1" x14ac:dyDescent="0.2">
      <c r="A3" s="255" t="s">
        <v>94</v>
      </c>
      <c r="B3" s="256"/>
      <c r="C3" s="256"/>
      <c r="D3" s="256"/>
    </row>
    <row r="4" spans="1:4" ht="8" customHeight="1" x14ac:dyDescent="0.2">
      <c r="A4" s="42"/>
      <c r="B4" s="42"/>
      <c r="C4" s="42"/>
      <c r="D4" s="42"/>
    </row>
    <row r="5" spans="1:4" ht="19" customHeight="1" x14ac:dyDescent="0.2">
      <c r="A5" s="259" t="s">
        <v>95</v>
      </c>
      <c r="B5" s="260"/>
      <c r="C5" s="260"/>
      <c r="D5" s="260"/>
    </row>
    <row r="6" spans="1:4" ht="8" customHeight="1" x14ac:dyDescent="0.2">
      <c r="A6" s="42"/>
      <c r="B6" s="42"/>
      <c r="C6" s="42"/>
      <c r="D6" s="42"/>
    </row>
    <row r="7" spans="1:4" ht="20" customHeight="1" x14ac:dyDescent="0.2">
      <c r="A7" s="261" t="s">
        <v>96</v>
      </c>
      <c r="B7" s="262"/>
      <c r="C7" s="262"/>
      <c r="D7" s="262"/>
    </row>
    <row r="8" spans="1:4" ht="8" customHeight="1" x14ac:dyDescent="0.2">
      <c r="A8" s="42"/>
      <c r="B8" s="42"/>
      <c r="C8" s="42"/>
      <c r="D8" s="42"/>
    </row>
    <row r="9" spans="1:4" ht="20" customHeight="1" x14ac:dyDescent="0.2">
      <c r="A9" s="263" t="s">
        <v>439</v>
      </c>
      <c r="B9" s="264"/>
      <c r="C9" s="264"/>
      <c r="D9" s="264"/>
    </row>
    <row r="10" spans="1:4" ht="8" customHeight="1" x14ac:dyDescent="0.2">
      <c r="A10" s="42"/>
      <c r="B10" s="42"/>
      <c r="C10" s="42"/>
      <c r="D10" s="42"/>
    </row>
    <row r="11" spans="1:4" ht="32" customHeight="1" x14ac:dyDescent="0.2">
      <c r="A11" s="255" t="s">
        <v>97</v>
      </c>
      <c r="B11" s="256"/>
      <c r="C11" s="256"/>
      <c r="D11" s="256"/>
    </row>
    <row r="12" spans="1:4" ht="8" customHeight="1" x14ac:dyDescent="0.2">
      <c r="A12" s="42"/>
      <c r="B12" s="42"/>
      <c r="C12" s="42"/>
      <c r="D12" s="42"/>
    </row>
    <row r="13" spans="1:4" ht="28" customHeight="1" thickBot="1" x14ac:dyDescent="0.25">
      <c r="A13" s="52" t="s">
        <v>325</v>
      </c>
      <c r="B13" s="41" t="s">
        <v>98</v>
      </c>
      <c r="C13" s="46" t="s">
        <v>99</v>
      </c>
    </row>
    <row r="14" spans="1:4" ht="48" customHeight="1" x14ac:dyDescent="0.2">
      <c r="A14" s="37">
        <v>1</v>
      </c>
      <c r="B14" s="33" t="s">
        <v>100</v>
      </c>
      <c r="C14" s="47" t="s">
        <v>101</v>
      </c>
    </row>
    <row r="15" spans="1:4" ht="48" customHeight="1" x14ac:dyDescent="0.2">
      <c r="A15" s="38">
        <v>2</v>
      </c>
      <c r="B15" s="34" t="s">
        <v>102</v>
      </c>
      <c r="C15" s="48" t="s">
        <v>103</v>
      </c>
    </row>
    <row r="16" spans="1:4" ht="64" x14ac:dyDescent="0.2">
      <c r="A16" s="39">
        <v>3</v>
      </c>
      <c r="B16" s="36" t="s">
        <v>104</v>
      </c>
      <c r="C16" s="49" t="s">
        <v>485</v>
      </c>
    </row>
    <row r="17" spans="1:4" ht="48" customHeight="1" x14ac:dyDescent="0.2">
      <c r="A17" s="38">
        <v>4</v>
      </c>
      <c r="B17" s="34" t="s">
        <v>105</v>
      </c>
      <c r="C17" s="48" t="s">
        <v>445</v>
      </c>
    </row>
    <row r="18" spans="1:4" ht="48" customHeight="1" x14ac:dyDescent="0.2">
      <c r="A18" s="39">
        <v>5</v>
      </c>
      <c r="B18" s="36" t="s">
        <v>106</v>
      </c>
      <c r="C18" s="49" t="s">
        <v>107</v>
      </c>
    </row>
    <row r="19" spans="1:4" ht="48" customHeight="1" x14ac:dyDescent="0.2">
      <c r="A19" s="38">
        <v>6</v>
      </c>
      <c r="B19" s="34" t="s">
        <v>108</v>
      </c>
      <c r="C19" s="48" t="s">
        <v>109</v>
      </c>
    </row>
    <row r="20" spans="1:4" ht="48" customHeight="1" x14ac:dyDescent="0.2">
      <c r="A20" s="40">
        <v>7</v>
      </c>
      <c r="B20" s="35" t="s">
        <v>110</v>
      </c>
      <c r="C20" s="50" t="s">
        <v>487</v>
      </c>
    </row>
    <row r="21" spans="1:4" ht="8" customHeight="1" x14ac:dyDescent="0.2">
      <c r="A21" s="42"/>
      <c r="B21" s="42"/>
      <c r="C21" s="42"/>
      <c r="D21" s="42"/>
    </row>
    <row r="22" spans="1:4" ht="32" customHeight="1" x14ac:dyDescent="0.2">
      <c r="A22" s="255" t="s">
        <v>111</v>
      </c>
      <c r="B22" s="256"/>
      <c r="C22" s="256"/>
      <c r="D22" s="256"/>
    </row>
    <row r="23" spans="1:4" ht="8" customHeight="1" x14ac:dyDescent="0.2">
      <c r="A23" s="42"/>
      <c r="B23" s="42"/>
      <c r="C23" s="42"/>
      <c r="D23" s="42"/>
    </row>
    <row r="24" spans="1:4" ht="26" customHeight="1" x14ac:dyDescent="0.2">
      <c r="A24" s="240" t="s">
        <v>112</v>
      </c>
      <c r="B24" s="241"/>
      <c r="C24" s="241"/>
      <c r="D24" s="241"/>
    </row>
    <row r="25" spans="1:4" ht="8" customHeight="1" x14ac:dyDescent="0.2">
      <c r="A25" s="42"/>
      <c r="B25" s="42"/>
      <c r="C25" s="42"/>
      <c r="D25" s="42"/>
    </row>
    <row r="26" spans="1:4" ht="28" customHeight="1" thickBot="1" x14ac:dyDescent="0.25">
      <c r="A26" s="52" t="s">
        <v>113</v>
      </c>
      <c r="B26" s="41" t="s">
        <v>114</v>
      </c>
      <c r="C26" s="46" t="s">
        <v>115</v>
      </c>
    </row>
    <row r="27" spans="1:4" ht="42" customHeight="1" x14ac:dyDescent="0.2">
      <c r="A27" s="53" t="s">
        <v>116</v>
      </c>
      <c r="B27" s="33" t="s">
        <v>117</v>
      </c>
      <c r="C27" s="47" t="s">
        <v>118</v>
      </c>
    </row>
    <row r="28" spans="1:4" ht="42" customHeight="1" x14ac:dyDescent="0.2">
      <c r="A28" s="54" t="s">
        <v>119</v>
      </c>
      <c r="B28" s="34" t="s">
        <v>120</v>
      </c>
      <c r="C28" s="48" t="s">
        <v>121</v>
      </c>
    </row>
    <row r="29" spans="1:4" ht="42" customHeight="1" x14ac:dyDescent="0.2">
      <c r="A29" s="55" t="s">
        <v>122</v>
      </c>
      <c r="B29" s="35" t="s">
        <v>123</v>
      </c>
      <c r="C29" s="50" t="s">
        <v>124</v>
      </c>
    </row>
    <row r="30" spans="1:4" ht="8" customHeight="1" x14ac:dyDescent="0.2">
      <c r="A30" s="42"/>
      <c r="B30" s="42"/>
      <c r="C30" s="42"/>
      <c r="D30" s="42"/>
    </row>
    <row r="31" spans="1:4" ht="26" customHeight="1" x14ac:dyDescent="0.2">
      <c r="A31" s="240" t="s">
        <v>125</v>
      </c>
      <c r="B31" s="241"/>
      <c r="C31" s="241"/>
      <c r="D31" s="241"/>
    </row>
    <row r="32" spans="1:4" ht="8" customHeight="1" x14ac:dyDescent="0.2">
      <c r="A32" s="42"/>
      <c r="B32" s="42"/>
      <c r="C32" s="42"/>
      <c r="D32" s="42"/>
    </row>
    <row r="33" spans="1:4" ht="28" customHeight="1" thickBot="1" x14ac:dyDescent="0.25">
      <c r="A33" s="52" t="s">
        <v>126</v>
      </c>
      <c r="B33" s="41" t="s">
        <v>114</v>
      </c>
      <c r="C33" s="46" t="s">
        <v>115</v>
      </c>
    </row>
    <row r="34" spans="1:4" ht="42" customHeight="1" x14ac:dyDescent="0.2">
      <c r="A34" s="53" t="s">
        <v>127</v>
      </c>
      <c r="B34" s="33" t="s">
        <v>128</v>
      </c>
      <c r="C34" s="47" t="s">
        <v>129</v>
      </c>
    </row>
    <row r="35" spans="1:4" ht="42" customHeight="1" x14ac:dyDescent="0.2">
      <c r="A35" s="54" t="s">
        <v>130</v>
      </c>
      <c r="B35" s="34" t="s">
        <v>131</v>
      </c>
      <c r="C35" s="48" t="s">
        <v>132</v>
      </c>
    </row>
    <row r="36" spans="1:4" ht="42" customHeight="1" x14ac:dyDescent="0.2">
      <c r="A36" s="55" t="s">
        <v>133</v>
      </c>
      <c r="B36" s="35" t="s">
        <v>134</v>
      </c>
      <c r="C36" s="50" t="s">
        <v>135</v>
      </c>
    </row>
    <row r="37" spans="1:4" ht="8" customHeight="1" x14ac:dyDescent="0.2">
      <c r="A37" s="42"/>
      <c r="B37" s="42"/>
      <c r="C37" s="42"/>
      <c r="D37" s="42"/>
    </row>
    <row r="38" spans="1:4" ht="26" customHeight="1" x14ac:dyDescent="0.2">
      <c r="A38" s="240" t="s">
        <v>136</v>
      </c>
      <c r="B38" s="241"/>
      <c r="C38" s="241"/>
      <c r="D38" s="241"/>
    </row>
    <row r="39" spans="1:4" ht="8" customHeight="1" x14ac:dyDescent="0.2">
      <c r="A39" s="42"/>
      <c r="B39" s="42"/>
      <c r="C39" s="42"/>
      <c r="D39" s="42"/>
    </row>
    <row r="40" spans="1:4" ht="28" customHeight="1" thickBot="1" x14ac:dyDescent="0.25">
      <c r="A40" s="52" t="s">
        <v>126</v>
      </c>
      <c r="B40" s="41" t="s">
        <v>114</v>
      </c>
      <c r="C40" s="46" t="s">
        <v>115</v>
      </c>
    </row>
    <row r="41" spans="1:4" ht="48" x14ac:dyDescent="0.2">
      <c r="A41" s="53" t="s">
        <v>137</v>
      </c>
      <c r="B41" s="33" t="s">
        <v>138</v>
      </c>
      <c r="C41" s="47" t="s">
        <v>139</v>
      </c>
    </row>
    <row r="42" spans="1:4" ht="48" x14ac:dyDescent="0.2">
      <c r="A42" s="54" t="s">
        <v>140</v>
      </c>
      <c r="B42" s="34" t="s">
        <v>141</v>
      </c>
      <c r="C42" s="48" t="s">
        <v>142</v>
      </c>
    </row>
    <row r="43" spans="1:4" ht="42" customHeight="1" x14ac:dyDescent="0.2">
      <c r="A43" s="55" t="s">
        <v>143</v>
      </c>
      <c r="B43" s="35" t="s">
        <v>144</v>
      </c>
      <c r="C43" s="50" t="s">
        <v>145</v>
      </c>
    </row>
    <row r="44" spans="1:4" ht="8" customHeight="1" x14ac:dyDescent="0.2">
      <c r="A44" s="42"/>
      <c r="B44" s="42"/>
      <c r="C44" s="42"/>
      <c r="D44" s="42"/>
    </row>
    <row r="45" spans="1:4" ht="26" customHeight="1" x14ac:dyDescent="0.2">
      <c r="A45" s="240" t="s">
        <v>146</v>
      </c>
      <c r="B45" s="241"/>
      <c r="C45" s="241"/>
      <c r="D45" s="241"/>
    </row>
    <row r="46" spans="1:4" ht="8" customHeight="1" x14ac:dyDescent="0.2">
      <c r="A46" s="42"/>
      <c r="B46" s="42"/>
      <c r="C46" s="42"/>
      <c r="D46" s="42"/>
    </row>
    <row r="47" spans="1:4" ht="28" customHeight="1" thickBot="1" x14ac:dyDescent="0.25">
      <c r="A47" s="52" t="s">
        <v>147</v>
      </c>
      <c r="B47" s="41" t="s">
        <v>114</v>
      </c>
      <c r="C47" s="46" t="s">
        <v>148</v>
      </c>
    </row>
    <row r="48" spans="1:4" ht="48" x14ac:dyDescent="0.2">
      <c r="A48" s="53" t="s">
        <v>149</v>
      </c>
      <c r="B48" s="33" t="s">
        <v>150</v>
      </c>
      <c r="C48" s="47" t="s">
        <v>151</v>
      </c>
    </row>
    <row r="49" spans="1:4" ht="42" customHeight="1" x14ac:dyDescent="0.2">
      <c r="A49" s="54" t="s">
        <v>152</v>
      </c>
      <c r="B49" s="34" t="s">
        <v>153</v>
      </c>
      <c r="C49" s="48" t="s">
        <v>154</v>
      </c>
    </row>
    <row r="50" spans="1:4" ht="42" customHeight="1" x14ac:dyDescent="0.2">
      <c r="A50" s="55" t="s">
        <v>155</v>
      </c>
      <c r="B50" s="35" t="s">
        <v>156</v>
      </c>
      <c r="C50" s="50" t="s">
        <v>157</v>
      </c>
    </row>
    <row r="51" spans="1:4" ht="8" customHeight="1" x14ac:dyDescent="0.2">
      <c r="A51" s="42"/>
      <c r="B51" s="42"/>
      <c r="C51" s="42"/>
      <c r="D51" s="42"/>
    </row>
    <row r="52" spans="1:4" ht="8" customHeight="1" x14ac:dyDescent="0.2">
      <c r="A52" s="42"/>
      <c r="B52" s="42"/>
      <c r="C52" s="42"/>
      <c r="D52" s="42"/>
    </row>
    <row r="53" spans="1:4" ht="32" customHeight="1" x14ac:dyDescent="0.2">
      <c r="A53" s="255" t="s">
        <v>158</v>
      </c>
      <c r="B53" s="256"/>
      <c r="C53" s="256"/>
      <c r="D53" s="256"/>
    </row>
    <row r="54" spans="1:4" ht="8" customHeight="1" thickBot="1" x14ac:dyDescent="0.25">
      <c r="A54" s="43"/>
      <c r="B54" s="43"/>
      <c r="C54" s="43"/>
      <c r="D54" s="43"/>
    </row>
    <row r="55" spans="1:4" ht="26" customHeight="1" x14ac:dyDescent="0.2">
      <c r="A55" s="234" t="s">
        <v>159</v>
      </c>
      <c r="B55" s="235"/>
      <c r="C55" s="235"/>
      <c r="D55" s="236"/>
    </row>
    <row r="56" spans="1:4" ht="80" customHeight="1" x14ac:dyDescent="0.2">
      <c r="A56" s="237" t="s">
        <v>453</v>
      </c>
      <c r="B56" s="238"/>
      <c r="C56" s="238"/>
      <c r="D56" s="239"/>
    </row>
    <row r="57" spans="1:4" ht="8" customHeight="1" x14ac:dyDescent="0.2">
      <c r="A57" s="42"/>
      <c r="B57" s="42"/>
      <c r="C57" s="42"/>
      <c r="D57" s="42"/>
    </row>
    <row r="58" spans="1:4" ht="26" customHeight="1" x14ac:dyDescent="0.2">
      <c r="A58" s="240" t="s">
        <v>160</v>
      </c>
      <c r="B58" s="241"/>
      <c r="C58" s="241"/>
      <c r="D58" s="241"/>
    </row>
    <row r="59" spans="1:4" ht="8" customHeight="1" x14ac:dyDescent="0.2">
      <c r="A59" s="42"/>
      <c r="B59" s="44"/>
      <c r="C59" s="44"/>
      <c r="D59" s="42"/>
    </row>
    <row r="60" spans="1:4" ht="28" customHeight="1" thickBot="1" x14ac:dyDescent="0.25">
      <c r="A60" s="56" t="s">
        <v>161</v>
      </c>
      <c r="B60" s="41" t="s">
        <v>162</v>
      </c>
      <c r="C60" s="41" t="s">
        <v>163</v>
      </c>
      <c r="D60" s="51" t="s">
        <v>164</v>
      </c>
    </row>
    <row r="61" spans="1:4" ht="65" customHeight="1" x14ac:dyDescent="0.2">
      <c r="A61" s="53" t="s">
        <v>165</v>
      </c>
      <c r="B61" s="33" t="s">
        <v>166</v>
      </c>
      <c r="C61" s="33" t="s">
        <v>167</v>
      </c>
      <c r="D61" s="47" t="s">
        <v>168</v>
      </c>
    </row>
    <row r="62" spans="1:4" ht="65" customHeight="1" x14ac:dyDescent="0.2">
      <c r="A62" s="54" t="s">
        <v>169</v>
      </c>
      <c r="B62" s="34" t="s">
        <v>170</v>
      </c>
      <c r="C62" s="34" t="s">
        <v>171</v>
      </c>
      <c r="D62" s="48" t="s">
        <v>172</v>
      </c>
    </row>
    <row r="63" spans="1:4" ht="65" customHeight="1" x14ac:dyDescent="0.2">
      <c r="A63" s="57" t="s">
        <v>173</v>
      </c>
      <c r="B63" s="36" t="s">
        <v>174</v>
      </c>
      <c r="C63" s="36" t="s">
        <v>175</v>
      </c>
      <c r="D63" s="49" t="s">
        <v>176</v>
      </c>
    </row>
    <row r="64" spans="1:4" ht="65" customHeight="1" x14ac:dyDescent="0.2">
      <c r="A64" s="54" t="s">
        <v>177</v>
      </c>
      <c r="B64" s="34" t="s">
        <v>178</v>
      </c>
      <c r="C64" s="34" t="s">
        <v>446</v>
      </c>
      <c r="D64" s="48" t="s">
        <v>179</v>
      </c>
    </row>
    <row r="65" spans="1:4" ht="65" customHeight="1" x14ac:dyDescent="0.2">
      <c r="A65" s="57" t="s">
        <v>180</v>
      </c>
      <c r="B65" s="36" t="s">
        <v>181</v>
      </c>
      <c r="C65" s="36" t="s">
        <v>182</v>
      </c>
      <c r="D65" s="49" t="s">
        <v>183</v>
      </c>
    </row>
    <row r="66" spans="1:4" ht="8" customHeight="1" x14ac:dyDescent="0.2">
      <c r="A66" s="42"/>
      <c r="B66" s="42"/>
      <c r="C66" s="42"/>
      <c r="D66" s="42"/>
    </row>
    <row r="67" spans="1:4" ht="26" customHeight="1" x14ac:dyDescent="0.2">
      <c r="A67" s="241" t="s">
        <v>184</v>
      </c>
      <c r="B67" s="241"/>
      <c r="C67" s="241"/>
      <c r="D67" s="241"/>
    </row>
    <row r="68" spans="1:4" ht="8" customHeight="1" x14ac:dyDescent="0.2">
      <c r="A68" s="45"/>
      <c r="B68" s="45"/>
      <c r="C68" s="45"/>
      <c r="D68" s="45"/>
    </row>
    <row r="69" spans="1:4" ht="36" customHeight="1" x14ac:dyDescent="0.2">
      <c r="A69" s="242" t="s">
        <v>185</v>
      </c>
      <c r="B69" s="243"/>
      <c r="C69" s="243"/>
      <c r="D69" s="244"/>
    </row>
    <row r="70" spans="1:4" ht="8" customHeight="1" x14ac:dyDescent="0.2">
      <c r="A70" s="42"/>
      <c r="B70" s="42"/>
      <c r="C70" s="42"/>
      <c r="D70" s="42"/>
    </row>
    <row r="71" spans="1:4" ht="22" customHeight="1" x14ac:dyDescent="0.2">
      <c r="A71" s="245" t="s">
        <v>186</v>
      </c>
      <c r="B71" s="246"/>
      <c r="C71" s="246"/>
      <c r="D71" s="246"/>
    </row>
    <row r="72" spans="1:4" ht="8" customHeight="1" x14ac:dyDescent="0.2">
      <c r="A72" s="42"/>
      <c r="B72" s="42"/>
      <c r="C72" s="42"/>
      <c r="D72" s="42"/>
    </row>
    <row r="73" spans="1:4" ht="22" customHeight="1" x14ac:dyDescent="0.2">
      <c r="A73" s="247" t="s">
        <v>187</v>
      </c>
      <c r="B73" s="247"/>
      <c r="C73" s="247"/>
      <c r="D73" s="247"/>
    </row>
    <row r="74" spans="1:4" ht="22" customHeight="1" x14ac:dyDescent="0.2">
      <c r="A74" s="248" t="s">
        <v>188</v>
      </c>
      <c r="B74" s="248"/>
      <c r="C74" s="248"/>
      <c r="D74" s="248"/>
    </row>
    <row r="75" spans="1:4" ht="22" customHeight="1" x14ac:dyDescent="0.2">
      <c r="A75" s="247" t="s">
        <v>189</v>
      </c>
      <c r="B75" s="247"/>
      <c r="C75" s="247"/>
      <c r="D75" s="247"/>
    </row>
    <row r="76" spans="1:4" ht="8" customHeight="1" thickBot="1" x14ac:dyDescent="0.25">
      <c r="A76" s="128"/>
      <c r="B76" s="128"/>
      <c r="C76" s="128"/>
      <c r="D76" s="128"/>
    </row>
    <row r="77" spans="1:4" ht="26" customHeight="1" x14ac:dyDescent="0.2">
      <c r="A77" s="249" t="s">
        <v>190</v>
      </c>
      <c r="B77" s="250"/>
      <c r="C77" s="250"/>
      <c r="D77" s="251"/>
    </row>
    <row r="78" spans="1:4" ht="80" customHeight="1" x14ac:dyDescent="0.2">
      <c r="A78" s="252" t="s">
        <v>326</v>
      </c>
      <c r="B78" s="253"/>
      <c r="C78" s="253"/>
      <c r="D78" s="254"/>
    </row>
    <row r="79" spans="1:4" ht="8" customHeight="1" x14ac:dyDescent="0.2">
      <c r="A79" s="129"/>
      <c r="B79" s="129"/>
      <c r="C79" s="129"/>
      <c r="D79" s="129"/>
    </row>
    <row r="80" spans="1:4" ht="32" customHeight="1" x14ac:dyDescent="0.2">
      <c r="A80" s="233" t="s">
        <v>191</v>
      </c>
      <c r="B80" s="233"/>
      <c r="C80" s="233"/>
      <c r="D80" s="233"/>
    </row>
    <row r="81" spans="1:4" ht="8" customHeight="1" x14ac:dyDescent="0.2">
      <c r="A81" s="130"/>
      <c r="B81" s="130"/>
      <c r="C81" s="130"/>
      <c r="D81" s="130"/>
    </row>
    <row r="82" spans="1:4" ht="60" customHeight="1" x14ac:dyDescent="0.2">
      <c r="A82" s="226" t="s">
        <v>488</v>
      </c>
      <c r="B82" s="227"/>
      <c r="C82" s="227"/>
      <c r="D82" s="228"/>
    </row>
    <row r="83" spans="1:4" ht="8" customHeight="1" x14ac:dyDescent="0.2">
      <c r="A83" s="129"/>
      <c r="B83" s="129"/>
      <c r="C83" s="129"/>
      <c r="D83" s="129"/>
    </row>
    <row r="84" spans="1:4" ht="22" customHeight="1" x14ac:dyDescent="0.2">
      <c r="A84" s="229" t="s">
        <v>192</v>
      </c>
      <c r="B84" s="229"/>
      <c r="C84" s="229"/>
      <c r="D84" s="229"/>
    </row>
    <row r="85" spans="1:4" ht="8" customHeight="1" x14ac:dyDescent="0.2">
      <c r="A85" s="129"/>
      <c r="B85" s="129"/>
      <c r="C85" s="129"/>
      <c r="D85" s="129"/>
    </row>
    <row r="86" spans="1:4" ht="36" customHeight="1" x14ac:dyDescent="0.2">
      <c r="A86" s="230" t="s">
        <v>193</v>
      </c>
      <c r="B86" s="230"/>
      <c r="C86" s="230"/>
      <c r="D86" s="230"/>
    </row>
    <row r="87" spans="1:4" ht="36" customHeight="1" x14ac:dyDescent="0.2">
      <c r="A87" s="231" t="s">
        <v>194</v>
      </c>
      <c r="B87" s="231"/>
      <c r="C87" s="231"/>
      <c r="D87" s="231"/>
    </row>
    <row r="88" spans="1:4" ht="36" customHeight="1" x14ac:dyDescent="0.2">
      <c r="A88" s="230" t="s">
        <v>195</v>
      </c>
      <c r="B88" s="230"/>
      <c r="C88" s="230"/>
      <c r="D88" s="230"/>
    </row>
    <row r="89" spans="1:4" ht="8" customHeight="1" x14ac:dyDescent="0.2">
      <c r="A89" s="129"/>
      <c r="B89" s="129"/>
      <c r="C89" s="129"/>
      <c r="D89" s="129"/>
    </row>
    <row r="90" spans="1:4" ht="20" customHeight="1" thickBot="1" x14ac:dyDescent="0.25">
      <c r="A90" s="232" t="s">
        <v>196</v>
      </c>
      <c r="B90" s="232"/>
      <c r="C90" s="232"/>
      <c r="D90" s="232"/>
    </row>
    <row r="91" spans="1:4" ht="20" customHeight="1" x14ac:dyDescent="0.2">
      <c r="A91" s="223" t="s">
        <v>486</v>
      </c>
      <c r="B91" s="223"/>
      <c r="C91" s="223"/>
      <c r="D91" s="223"/>
    </row>
    <row r="92" spans="1:4" ht="20" customHeight="1" x14ac:dyDescent="0.2">
      <c r="A92" s="224" t="s">
        <v>335</v>
      </c>
      <c r="B92" s="224"/>
      <c r="C92" s="224"/>
      <c r="D92" s="224"/>
    </row>
    <row r="93" spans="1:4" ht="20" customHeight="1" x14ac:dyDescent="0.2">
      <c r="A93" s="225" t="s">
        <v>336</v>
      </c>
      <c r="B93" s="225"/>
      <c r="C93" s="225"/>
      <c r="D93" s="225"/>
    </row>
  </sheetData>
  <mergeCells count="33">
    <mergeCell ref="A53:D53"/>
    <mergeCell ref="A1:D1"/>
    <mergeCell ref="A3:D3"/>
    <mergeCell ref="A5:D5"/>
    <mergeCell ref="A7:D7"/>
    <mergeCell ref="A9:D9"/>
    <mergeCell ref="A11:D11"/>
    <mergeCell ref="A22:D22"/>
    <mergeCell ref="A24:D24"/>
    <mergeCell ref="A31:D31"/>
    <mergeCell ref="A38:D38"/>
    <mergeCell ref="A45:D45"/>
    <mergeCell ref="A80:D80"/>
    <mergeCell ref="A55:D55"/>
    <mergeCell ref="A56:D56"/>
    <mergeCell ref="A58:D58"/>
    <mergeCell ref="A67:D67"/>
    <mergeCell ref="A69:D69"/>
    <mergeCell ref="A71:D71"/>
    <mergeCell ref="A73:D73"/>
    <mergeCell ref="A74:D74"/>
    <mergeCell ref="A75:D75"/>
    <mergeCell ref="A77:D77"/>
    <mergeCell ref="A78:D78"/>
    <mergeCell ref="A91:D91"/>
    <mergeCell ref="A92:D92"/>
    <mergeCell ref="A93:D93"/>
    <mergeCell ref="A82:D82"/>
    <mergeCell ref="A84:D84"/>
    <mergeCell ref="A86:D86"/>
    <mergeCell ref="A87:D87"/>
    <mergeCell ref="A88:D88"/>
    <mergeCell ref="A90:D90"/>
  </mergeCells>
  <hyperlinks>
    <hyperlink ref="A7" r:id="rId1" xr:uid="{AE7DFB3D-A219-D34C-8AF5-0187FD13EE97}"/>
    <hyperlink ref="A90" r:id="rId2" location="burden-of-proof-and-accountability-framework" xr:uid="{A99B1CD3-9883-304B-AACC-9CB44E0D3BDC}"/>
    <hyperlink ref="A9:D9" r:id="rId3" display="Repository: https://github.com/paulrekaris/TGA-COVID19-Vaccine-Safety-Monitoring-Audit" xr:uid="{623E4E30-0544-104F-A7C3-7A3FA1E66CE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31EB5-E1FA-4C4A-B52E-BBAB7FC0DF08}">
  <dimension ref="A1:E136"/>
  <sheetViews>
    <sheetView zoomScaleNormal="100" workbookViewId="0">
      <pane ySplit="1" topLeftCell="A120" activePane="bottomLeft" state="frozen"/>
      <selection pane="bottomLeft" activeCell="D14" sqref="D14"/>
    </sheetView>
  </sheetViews>
  <sheetFormatPr baseColWidth="10" defaultColWidth="10.83203125" defaultRowHeight="16" x14ac:dyDescent="0.2"/>
  <cols>
    <col min="1" max="1" width="58.33203125" style="151" customWidth="1"/>
    <col min="2" max="2" width="52" style="183" customWidth="1"/>
    <col min="3" max="3" width="46.6640625" style="151" customWidth="1"/>
    <col min="4" max="4" width="41.6640625" style="151" customWidth="1"/>
    <col min="5" max="5" width="50" style="151" customWidth="1"/>
    <col min="6" max="16384" width="10.83203125" style="151"/>
  </cols>
  <sheetData>
    <row r="1" spans="1:5" ht="26" x14ac:dyDescent="0.2">
      <c r="A1" s="266" t="s">
        <v>327</v>
      </c>
      <c r="B1" s="266"/>
      <c r="C1" s="266"/>
      <c r="D1" s="266"/>
      <c r="E1" s="266"/>
    </row>
    <row r="2" spans="1:5" ht="7.5" customHeight="1" x14ac:dyDescent="0.2">
      <c r="A2" s="152"/>
      <c r="B2" s="153"/>
      <c r="C2" s="152"/>
      <c r="D2" s="152"/>
      <c r="E2" s="152"/>
    </row>
    <row r="3" spans="1:5" ht="31.5" customHeight="1" thickBot="1" x14ac:dyDescent="0.25">
      <c r="A3" s="265" t="s">
        <v>198</v>
      </c>
      <c r="B3" s="265"/>
      <c r="C3" s="265"/>
      <c r="D3" s="265"/>
      <c r="E3" s="265"/>
    </row>
    <row r="4" spans="1:5" ht="7.5" customHeight="1" x14ac:dyDescent="0.2">
      <c r="A4" s="154"/>
      <c r="B4" s="155"/>
      <c r="C4" s="154"/>
      <c r="D4" s="154"/>
      <c r="E4" s="154"/>
    </row>
    <row r="5" spans="1:5" ht="36" customHeight="1" x14ac:dyDescent="0.2">
      <c r="A5" s="267" t="s">
        <v>374</v>
      </c>
      <c r="B5" s="267"/>
      <c r="C5" s="267"/>
      <c r="D5" s="267"/>
      <c r="E5" s="267"/>
    </row>
    <row r="6" spans="1:5" ht="7.5" customHeight="1" x14ac:dyDescent="0.2">
      <c r="A6" s="152"/>
      <c r="B6" s="153"/>
      <c r="C6" s="152"/>
      <c r="D6" s="152"/>
      <c r="E6" s="152"/>
    </row>
    <row r="7" spans="1:5" ht="7.5" customHeight="1" x14ac:dyDescent="0.2">
      <c r="A7" s="152"/>
      <c r="B7" s="153"/>
      <c r="C7" s="152"/>
      <c r="D7" s="152"/>
      <c r="E7" s="152"/>
    </row>
    <row r="8" spans="1:5" ht="7.5" customHeight="1" x14ac:dyDescent="0.2">
      <c r="A8" s="152"/>
      <c r="B8" s="153"/>
      <c r="C8" s="152"/>
      <c r="D8" s="152"/>
      <c r="E8" s="152"/>
    </row>
    <row r="9" spans="1:5" ht="31.5" customHeight="1" thickBot="1" x14ac:dyDescent="0.25">
      <c r="A9" s="265" t="s">
        <v>199</v>
      </c>
      <c r="B9" s="265"/>
      <c r="C9" s="265"/>
      <c r="D9" s="265"/>
      <c r="E9" s="265"/>
    </row>
    <row r="10" spans="1:5" ht="7.5" customHeight="1" x14ac:dyDescent="0.2">
      <c r="A10" s="154"/>
      <c r="B10" s="155"/>
      <c r="C10" s="154"/>
      <c r="D10" s="154"/>
      <c r="E10" s="154"/>
    </row>
    <row r="11" spans="1:5" ht="16.5" customHeight="1" thickBot="1" x14ac:dyDescent="0.25">
      <c r="A11" s="156" t="s">
        <v>200</v>
      </c>
      <c r="B11" s="157" t="s">
        <v>201</v>
      </c>
      <c r="C11" s="158" t="s">
        <v>202</v>
      </c>
      <c r="D11" s="158" t="s">
        <v>203</v>
      </c>
      <c r="E11" s="159" t="s">
        <v>204</v>
      </c>
    </row>
    <row r="12" spans="1:5" ht="79.5" customHeight="1" x14ac:dyDescent="0.2">
      <c r="A12" s="160" t="s">
        <v>310</v>
      </c>
      <c r="B12" s="161" t="s">
        <v>205</v>
      </c>
      <c r="C12" s="162" t="s">
        <v>206</v>
      </c>
      <c r="D12" s="162" t="s">
        <v>207</v>
      </c>
      <c r="E12" s="163" t="s">
        <v>328</v>
      </c>
    </row>
    <row r="13" spans="1:5" ht="96" customHeight="1" x14ac:dyDescent="0.2">
      <c r="A13" s="164" t="s">
        <v>333</v>
      </c>
      <c r="B13" s="165" t="s">
        <v>209</v>
      </c>
      <c r="C13" s="166" t="s">
        <v>210</v>
      </c>
      <c r="D13" s="166" t="s">
        <v>211</v>
      </c>
      <c r="E13" s="167" t="s">
        <v>329</v>
      </c>
    </row>
    <row r="14" spans="1:5" ht="96.75" customHeight="1" thickBot="1" x14ac:dyDescent="0.25">
      <c r="A14" s="168" t="s">
        <v>321</v>
      </c>
      <c r="B14" s="169" t="s">
        <v>212</v>
      </c>
      <c r="C14" s="170" t="s">
        <v>213</v>
      </c>
      <c r="D14" s="170" t="s">
        <v>500</v>
      </c>
      <c r="E14" s="171" t="s">
        <v>501</v>
      </c>
    </row>
    <row r="15" spans="1:5" ht="7.5" customHeight="1" x14ac:dyDescent="0.2">
      <c r="A15" s="154"/>
      <c r="B15" s="155"/>
      <c r="C15" s="154"/>
      <c r="D15" s="154"/>
      <c r="E15" s="154"/>
    </row>
    <row r="16" spans="1:5" ht="31.5" customHeight="1" thickBot="1" x14ac:dyDescent="0.25">
      <c r="A16" s="265" t="s">
        <v>214</v>
      </c>
      <c r="B16" s="265"/>
      <c r="C16" s="265"/>
      <c r="D16" s="265"/>
      <c r="E16" s="265"/>
    </row>
    <row r="17" spans="1:5" ht="7.5" customHeight="1" x14ac:dyDescent="0.2">
      <c r="A17" s="154"/>
      <c r="B17" s="155"/>
      <c r="C17" s="154"/>
      <c r="D17" s="154"/>
      <c r="E17" s="154"/>
    </row>
    <row r="18" spans="1:5" x14ac:dyDescent="0.2">
      <c r="A18" s="158" t="s">
        <v>215</v>
      </c>
      <c r="B18" s="172" t="s">
        <v>216</v>
      </c>
      <c r="C18" s="158" t="s">
        <v>217</v>
      </c>
      <c r="D18" s="158"/>
      <c r="E18" s="158"/>
    </row>
    <row r="19" spans="1:5" ht="63.75" customHeight="1" x14ac:dyDescent="0.2">
      <c r="A19" s="173" t="s">
        <v>218</v>
      </c>
      <c r="B19" s="174" t="s">
        <v>219</v>
      </c>
      <c r="C19" s="175" t="s">
        <v>220</v>
      </c>
      <c r="D19" s="152"/>
      <c r="E19" s="152"/>
    </row>
    <row r="20" spans="1:5" ht="84.75" customHeight="1" x14ac:dyDescent="0.2">
      <c r="A20" s="176" t="s">
        <v>221</v>
      </c>
      <c r="B20" s="177" t="s">
        <v>222</v>
      </c>
      <c r="C20" s="176" t="s">
        <v>456</v>
      </c>
      <c r="D20" s="152"/>
      <c r="E20" s="152"/>
    </row>
    <row r="21" spans="1:5" ht="67.5" customHeight="1" x14ac:dyDescent="0.2">
      <c r="A21" s="173" t="s">
        <v>223</v>
      </c>
      <c r="B21" s="174" t="s">
        <v>224</v>
      </c>
      <c r="C21" s="173" t="s">
        <v>457</v>
      </c>
      <c r="D21" s="152"/>
      <c r="E21" s="152"/>
    </row>
    <row r="22" spans="1:5" ht="48" customHeight="1" x14ac:dyDescent="0.2">
      <c r="A22" s="176" t="s">
        <v>225</v>
      </c>
      <c r="B22" s="177" t="s">
        <v>226</v>
      </c>
      <c r="C22" s="178" t="s">
        <v>227</v>
      </c>
      <c r="D22" s="152"/>
      <c r="E22" s="152"/>
    </row>
    <row r="23" spans="1:5" ht="7.5" customHeight="1" x14ac:dyDescent="0.2">
      <c r="A23" s="152"/>
      <c r="B23" s="153"/>
      <c r="C23" s="152"/>
      <c r="D23" s="152"/>
      <c r="E23" s="152"/>
    </row>
    <row r="24" spans="1:5" ht="7.5" customHeight="1" x14ac:dyDescent="0.2">
      <c r="A24" s="152"/>
      <c r="B24" s="153"/>
      <c r="C24" s="152"/>
      <c r="D24" s="152"/>
      <c r="E24" s="152"/>
    </row>
    <row r="25" spans="1:5" ht="31.5" customHeight="1" thickBot="1" x14ac:dyDescent="0.25">
      <c r="A25" s="265" t="s">
        <v>228</v>
      </c>
      <c r="B25" s="265"/>
      <c r="C25" s="265"/>
      <c r="D25" s="265"/>
      <c r="E25" s="265"/>
    </row>
    <row r="26" spans="1:5" ht="7.5" customHeight="1" x14ac:dyDescent="0.2">
      <c r="A26" s="154"/>
      <c r="B26" s="155"/>
      <c r="C26" s="154"/>
      <c r="D26" s="154"/>
      <c r="E26" s="154"/>
    </row>
    <row r="27" spans="1:5" ht="25.5" customHeight="1" x14ac:dyDescent="0.2">
      <c r="A27" s="269" t="s">
        <v>229</v>
      </c>
      <c r="B27" s="269"/>
      <c r="C27" s="269"/>
      <c r="D27" s="269"/>
      <c r="E27" s="269"/>
    </row>
    <row r="28" spans="1:5" ht="7.5" customHeight="1" x14ac:dyDescent="0.2">
      <c r="A28" s="179"/>
      <c r="B28" s="180"/>
      <c r="C28" s="179"/>
      <c r="D28" s="179"/>
      <c r="E28" s="179"/>
    </row>
    <row r="29" spans="1:5" ht="19.5" customHeight="1" x14ac:dyDescent="0.2">
      <c r="A29" s="268" t="s">
        <v>230</v>
      </c>
      <c r="B29" s="268"/>
      <c r="C29" s="268"/>
      <c r="D29" s="268"/>
      <c r="E29" s="268"/>
    </row>
    <row r="30" spans="1:5" ht="19.5" customHeight="1" x14ac:dyDescent="0.2">
      <c r="A30" s="268" t="s">
        <v>231</v>
      </c>
      <c r="B30" s="268"/>
      <c r="C30" s="268"/>
      <c r="D30" s="268"/>
      <c r="E30" s="268"/>
    </row>
    <row r="31" spans="1:5" ht="19.5" customHeight="1" x14ac:dyDescent="0.2">
      <c r="A31" s="270" t="s">
        <v>232</v>
      </c>
      <c r="B31" s="270"/>
      <c r="C31" s="270"/>
      <c r="D31" s="270"/>
      <c r="E31" s="270"/>
    </row>
    <row r="32" spans="1:5" ht="19.5" customHeight="1" x14ac:dyDescent="0.2">
      <c r="A32" s="271" t="s">
        <v>233</v>
      </c>
      <c r="B32" s="271"/>
      <c r="C32" s="271"/>
      <c r="D32" s="271"/>
      <c r="E32" s="271"/>
    </row>
    <row r="33" spans="1:5" ht="19.5" customHeight="1" x14ac:dyDescent="0.2">
      <c r="A33" s="268" t="s">
        <v>234</v>
      </c>
      <c r="B33" s="268"/>
      <c r="C33" s="268"/>
      <c r="D33" s="268"/>
      <c r="E33" s="268"/>
    </row>
    <row r="34" spans="1:5" ht="19.5" customHeight="1" x14ac:dyDescent="0.2">
      <c r="A34" s="268" t="s">
        <v>235</v>
      </c>
      <c r="B34" s="268"/>
      <c r="C34" s="268"/>
      <c r="D34" s="268"/>
      <c r="E34" s="268"/>
    </row>
    <row r="35" spans="1:5" ht="19.5" customHeight="1" x14ac:dyDescent="0.2">
      <c r="A35" s="268" t="s">
        <v>236</v>
      </c>
      <c r="B35" s="268"/>
      <c r="C35" s="268"/>
      <c r="D35" s="268"/>
      <c r="E35" s="268"/>
    </row>
    <row r="36" spans="1:5" ht="19.5" customHeight="1" x14ac:dyDescent="0.2">
      <c r="A36" s="270" t="s">
        <v>237</v>
      </c>
      <c r="B36" s="270"/>
      <c r="C36" s="270"/>
      <c r="D36" s="270"/>
      <c r="E36" s="270"/>
    </row>
    <row r="37" spans="1:5" ht="19.5" customHeight="1" x14ac:dyDescent="0.2">
      <c r="A37" s="271" t="s">
        <v>238</v>
      </c>
      <c r="B37" s="271"/>
      <c r="C37" s="271"/>
      <c r="D37" s="271"/>
      <c r="E37" s="271"/>
    </row>
    <row r="38" spans="1:5" ht="19.5" customHeight="1" x14ac:dyDescent="0.2">
      <c r="A38" s="272" t="s">
        <v>239</v>
      </c>
      <c r="B38" s="272"/>
      <c r="C38" s="272"/>
      <c r="D38" s="272"/>
      <c r="E38" s="272"/>
    </row>
    <row r="39" spans="1:5" ht="19.5" customHeight="1" x14ac:dyDescent="0.2">
      <c r="A39" s="268" t="s">
        <v>240</v>
      </c>
      <c r="B39" s="268"/>
      <c r="C39" s="268"/>
      <c r="D39" s="268"/>
      <c r="E39" s="268"/>
    </row>
    <row r="40" spans="1:5" ht="19.5" customHeight="1" x14ac:dyDescent="0.2">
      <c r="A40" s="268" t="s">
        <v>241</v>
      </c>
      <c r="B40" s="268"/>
      <c r="C40" s="268"/>
      <c r="D40" s="268"/>
      <c r="E40" s="268"/>
    </row>
    <row r="41" spans="1:5" ht="19.5" customHeight="1" x14ac:dyDescent="0.2">
      <c r="A41" s="271" t="s">
        <v>242</v>
      </c>
      <c r="B41" s="271"/>
      <c r="C41" s="271"/>
      <c r="D41" s="271"/>
      <c r="E41" s="271"/>
    </row>
    <row r="42" spans="1:5" ht="19.5" customHeight="1" x14ac:dyDescent="0.2">
      <c r="A42" s="271" t="s">
        <v>243</v>
      </c>
      <c r="B42" s="271"/>
      <c r="C42" s="271"/>
      <c r="D42" s="271"/>
      <c r="E42" s="271"/>
    </row>
    <row r="43" spans="1:5" x14ac:dyDescent="0.2">
      <c r="A43" s="272" t="s">
        <v>244</v>
      </c>
      <c r="B43" s="272"/>
      <c r="C43" s="272"/>
      <c r="D43" s="272"/>
      <c r="E43" s="272"/>
    </row>
    <row r="44" spans="1:5" ht="17" x14ac:dyDescent="0.2">
      <c r="A44" s="181" t="s">
        <v>458</v>
      </c>
      <c r="B44" s="180"/>
      <c r="C44" s="179"/>
      <c r="D44" s="179"/>
      <c r="E44" s="179"/>
    </row>
    <row r="45" spans="1:5" ht="76" thickBot="1" x14ac:dyDescent="0.25">
      <c r="A45" s="182" t="s">
        <v>459</v>
      </c>
    </row>
    <row r="46" spans="1:5" ht="30" customHeight="1" x14ac:dyDescent="0.2">
      <c r="A46" s="184" t="s">
        <v>460</v>
      </c>
    </row>
    <row r="47" spans="1:5" ht="17" thickBot="1" x14ac:dyDescent="0.25">
      <c r="A47" s="152"/>
      <c r="B47" s="153"/>
      <c r="C47" s="152"/>
      <c r="D47" s="152"/>
      <c r="E47" s="152"/>
    </row>
    <row r="48" spans="1:5" ht="16.5" customHeight="1" thickBot="1" x14ac:dyDescent="0.25">
      <c r="A48" s="185" t="s">
        <v>308</v>
      </c>
      <c r="B48" s="186" t="s">
        <v>461</v>
      </c>
      <c r="C48" s="186" t="s">
        <v>462</v>
      </c>
      <c r="D48" s="187" t="s">
        <v>204</v>
      </c>
      <c r="E48" s="188"/>
    </row>
    <row r="49" spans="1:5" ht="64" x14ac:dyDescent="0.2">
      <c r="A49" s="189">
        <v>4</v>
      </c>
      <c r="B49" s="189" t="s">
        <v>463</v>
      </c>
      <c r="C49" s="190" t="s">
        <v>464</v>
      </c>
      <c r="D49" s="190" t="s">
        <v>465</v>
      </c>
    </row>
    <row r="50" spans="1:5" ht="64" x14ac:dyDescent="0.2">
      <c r="A50" s="191">
        <v>3</v>
      </c>
      <c r="B50" s="191" t="s">
        <v>466</v>
      </c>
      <c r="C50" s="192" t="s">
        <v>467</v>
      </c>
      <c r="D50" s="192" t="s">
        <v>468</v>
      </c>
    </row>
    <row r="51" spans="1:5" ht="31.5" customHeight="1" x14ac:dyDescent="0.2">
      <c r="A51" s="193" t="s">
        <v>469</v>
      </c>
      <c r="B51" s="174"/>
      <c r="C51" s="175"/>
      <c r="D51" s="175"/>
    </row>
    <row r="52" spans="1:5" x14ac:dyDescent="0.2">
      <c r="A52" s="179"/>
      <c r="B52" s="180"/>
      <c r="C52" s="179"/>
      <c r="D52" s="179"/>
      <c r="E52" s="179"/>
    </row>
    <row r="53" spans="1:5" ht="20" thickBot="1" x14ac:dyDescent="0.25">
      <c r="A53" s="274" t="s">
        <v>245</v>
      </c>
      <c r="B53" s="274"/>
      <c r="C53" s="274"/>
      <c r="D53" s="274"/>
      <c r="E53" s="274"/>
    </row>
    <row r="54" spans="1:5" x14ac:dyDescent="0.2">
      <c r="A54" s="275" t="s">
        <v>246</v>
      </c>
      <c r="B54" s="275"/>
      <c r="C54" s="275"/>
      <c r="D54" s="275"/>
      <c r="E54" s="275"/>
    </row>
    <row r="55" spans="1:5" ht="31.5" customHeight="1" thickBot="1" x14ac:dyDescent="0.25">
      <c r="A55" s="152"/>
      <c r="B55" s="153"/>
      <c r="C55" s="152"/>
      <c r="D55" s="152"/>
      <c r="E55" s="152"/>
    </row>
    <row r="56" spans="1:5" ht="17" thickBot="1" x14ac:dyDescent="0.25">
      <c r="A56" s="194" t="s">
        <v>247</v>
      </c>
      <c r="B56" s="195" t="s">
        <v>248</v>
      </c>
      <c r="C56" s="196" t="s">
        <v>249</v>
      </c>
      <c r="D56" s="188" t="s">
        <v>250</v>
      </c>
      <c r="E56" s="188"/>
    </row>
    <row r="57" spans="1:5" ht="32" x14ac:dyDescent="0.2">
      <c r="A57" s="173" t="s">
        <v>470</v>
      </c>
      <c r="B57" s="174" t="s">
        <v>251</v>
      </c>
      <c r="C57" s="175" t="s">
        <v>252</v>
      </c>
      <c r="D57" s="175" t="s">
        <v>253</v>
      </c>
    </row>
    <row r="58" spans="1:5" x14ac:dyDescent="0.2">
      <c r="A58" s="176" t="s">
        <v>471</v>
      </c>
      <c r="B58" s="177" t="s">
        <v>254</v>
      </c>
      <c r="C58" s="178" t="s">
        <v>255</v>
      </c>
      <c r="D58" s="178" t="s">
        <v>256</v>
      </c>
    </row>
    <row r="59" spans="1:5" ht="32" x14ac:dyDescent="0.2">
      <c r="A59" s="173" t="s">
        <v>472</v>
      </c>
      <c r="B59" s="174" t="s">
        <v>257</v>
      </c>
      <c r="C59" s="175" t="s">
        <v>258</v>
      </c>
      <c r="D59" s="175" t="s">
        <v>259</v>
      </c>
    </row>
    <row r="60" spans="1:5" ht="32" x14ac:dyDescent="0.2">
      <c r="A60" s="176" t="s">
        <v>473</v>
      </c>
      <c r="B60" s="177" t="s">
        <v>260</v>
      </c>
      <c r="C60" s="178" t="s">
        <v>261</v>
      </c>
      <c r="D60" s="178" t="s">
        <v>262</v>
      </c>
    </row>
    <row r="61" spans="1:5" ht="30" customHeight="1" x14ac:dyDescent="0.2">
      <c r="A61" s="173" t="s">
        <v>474</v>
      </c>
      <c r="B61" s="174" t="s">
        <v>263</v>
      </c>
      <c r="C61" s="175" t="s">
        <v>264</v>
      </c>
      <c r="D61" s="175" t="s">
        <v>265</v>
      </c>
    </row>
    <row r="62" spans="1:5" x14ac:dyDescent="0.2">
      <c r="A62" s="152"/>
      <c r="B62" s="153"/>
      <c r="C62" s="152"/>
      <c r="D62" s="152"/>
      <c r="E62" s="152"/>
    </row>
    <row r="63" spans="1:5" ht="30" customHeight="1" thickBot="1" x14ac:dyDescent="0.25">
      <c r="A63" s="265" t="s">
        <v>266</v>
      </c>
      <c r="B63" s="265"/>
      <c r="C63" s="265"/>
      <c r="D63" s="265"/>
      <c r="E63" s="265"/>
    </row>
    <row r="64" spans="1:5" ht="7.5" customHeight="1" x14ac:dyDescent="0.2">
      <c r="A64" s="154"/>
      <c r="B64" s="155"/>
      <c r="C64" s="154"/>
      <c r="D64" s="154"/>
      <c r="E64" s="154"/>
    </row>
    <row r="65" spans="1:5" ht="25.5" customHeight="1" x14ac:dyDescent="0.2">
      <c r="A65" s="276" t="s">
        <v>267</v>
      </c>
      <c r="B65" s="276"/>
      <c r="C65" s="276"/>
      <c r="D65" s="276"/>
      <c r="E65" s="276"/>
    </row>
    <row r="66" spans="1:5" ht="7.5" customHeight="1" x14ac:dyDescent="0.2">
      <c r="A66" s="197"/>
      <c r="B66" s="198"/>
      <c r="C66" s="197"/>
      <c r="D66" s="197"/>
      <c r="E66" s="197"/>
    </row>
    <row r="67" spans="1:5" ht="24" customHeight="1" x14ac:dyDescent="0.2">
      <c r="A67" s="269" t="s">
        <v>268</v>
      </c>
      <c r="B67" s="269"/>
      <c r="C67" s="269"/>
      <c r="D67" s="269"/>
      <c r="E67" s="269"/>
    </row>
    <row r="68" spans="1:5" x14ac:dyDescent="0.2">
      <c r="A68" s="179"/>
      <c r="B68" s="180"/>
      <c r="C68" s="179"/>
      <c r="D68" s="179"/>
      <c r="E68" s="179"/>
    </row>
    <row r="69" spans="1:5" ht="24" customHeight="1" x14ac:dyDescent="0.2">
      <c r="A69" s="273" t="s">
        <v>475</v>
      </c>
      <c r="B69" s="273"/>
      <c r="C69" s="273"/>
      <c r="D69" s="273"/>
      <c r="E69" s="273"/>
    </row>
    <row r="70" spans="1:5" x14ac:dyDescent="0.2">
      <c r="A70" s="277" t="s">
        <v>476</v>
      </c>
      <c r="B70" s="277"/>
      <c r="C70" s="277"/>
      <c r="D70" s="277"/>
      <c r="E70" s="277"/>
    </row>
    <row r="71" spans="1:5" x14ac:dyDescent="0.2">
      <c r="A71" s="273" t="s">
        <v>477</v>
      </c>
      <c r="B71" s="273"/>
      <c r="C71" s="273"/>
      <c r="D71" s="273"/>
      <c r="E71" s="273"/>
    </row>
    <row r="72" spans="1:5" ht="7.5" customHeight="1" x14ac:dyDescent="0.2">
      <c r="A72" s="199"/>
      <c r="B72" s="199"/>
      <c r="C72" s="152"/>
      <c r="D72" s="152"/>
      <c r="E72" s="152"/>
    </row>
    <row r="73" spans="1:5" ht="30" customHeight="1" x14ac:dyDescent="0.2">
      <c r="A73" s="279" t="s">
        <v>269</v>
      </c>
      <c r="B73" s="279"/>
      <c r="C73" s="279"/>
      <c r="D73" s="279"/>
      <c r="E73" s="279"/>
    </row>
    <row r="74" spans="1:5" x14ac:dyDescent="0.2">
      <c r="A74" s="199"/>
      <c r="B74" s="199"/>
      <c r="C74" s="152"/>
      <c r="D74" s="152"/>
      <c r="E74" s="152"/>
    </row>
    <row r="75" spans="1:5" x14ac:dyDescent="0.2">
      <c r="A75" s="280" t="s">
        <v>270</v>
      </c>
      <c r="B75" s="280"/>
      <c r="C75" s="280"/>
      <c r="D75" s="280"/>
      <c r="E75" s="280"/>
    </row>
    <row r="76" spans="1:5" x14ac:dyDescent="0.2">
      <c r="A76" s="281" t="s">
        <v>271</v>
      </c>
      <c r="B76" s="281"/>
      <c r="C76" s="281"/>
      <c r="D76" s="281"/>
      <c r="E76" s="281"/>
    </row>
    <row r="77" spans="1:5" ht="21.75" customHeight="1" x14ac:dyDescent="0.2">
      <c r="A77" s="280" t="s">
        <v>272</v>
      </c>
      <c r="B77" s="280"/>
      <c r="C77" s="280"/>
      <c r="D77" s="280"/>
      <c r="E77" s="280"/>
    </row>
    <row r="78" spans="1:5" ht="7.5" customHeight="1" x14ac:dyDescent="0.2">
      <c r="A78" s="199"/>
      <c r="B78" s="200"/>
      <c r="C78" s="152"/>
      <c r="D78" s="152"/>
      <c r="E78" s="152"/>
    </row>
    <row r="79" spans="1:5" ht="21.75" customHeight="1" thickBot="1" x14ac:dyDescent="0.25">
      <c r="A79" s="282" t="s">
        <v>273</v>
      </c>
      <c r="B79" s="282"/>
      <c r="C79" s="282"/>
      <c r="D79" s="282"/>
      <c r="E79" s="282"/>
    </row>
    <row r="80" spans="1:5" x14ac:dyDescent="0.2">
      <c r="A80" s="201"/>
      <c r="B80" s="202"/>
      <c r="C80" s="154"/>
      <c r="D80" s="154"/>
      <c r="E80" s="154"/>
    </row>
    <row r="81" spans="1:5" ht="21.75" customHeight="1" thickBot="1" x14ac:dyDescent="0.25">
      <c r="A81" s="283" t="s">
        <v>274</v>
      </c>
      <c r="B81" s="283"/>
      <c r="C81" s="283"/>
      <c r="D81" s="283"/>
      <c r="E81" s="283"/>
    </row>
    <row r="82" spans="1:5" ht="7.5" customHeight="1" x14ac:dyDescent="0.2">
      <c r="A82" s="203"/>
      <c r="B82" s="204"/>
      <c r="C82" s="205"/>
      <c r="D82" s="205"/>
      <c r="E82" s="205"/>
    </row>
    <row r="83" spans="1:5" x14ac:dyDescent="0.2">
      <c r="A83" s="284" t="s">
        <v>275</v>
      </c>
      <c r="B83" s="284"/>
      <c r="C83" s="284"/>
      <c r="D83" s="284"/>
      <c r="E83" s="284"/>
    </row>
    <row r="84" spans="1:5" ht="7.5" customHeight="1" x14ac:dyDescent="0.2">
      <c r="A84" s="199"/>
      <c r="B84" s="200"/>
      <c r="C84" s="152"/>
      <c r="D84" s="152"/>
      <c r="E84" s="152"/>
    </row>
    <row r="85" spans="1:5" x14ac:dyDescent="0.2">
      <c r="A85" s="285" t="s">
        <v>276</v>
      </c>
      <c r="B85" s="285"/>
      <c r="C85" s="285"/>
      <c r="D85" s="285"/>
      <c r="E85" s="285"/>
    </row>
    <row r="86" spans="1:5" x14ac:dyDescent="0.2">
      <c r="A86" s="199"/>
      <c r="B86" s="200"/>
      <c r="C86" s="152"/>
      <c r="D86" s="152"/>
      <c r="E86" s="152"/>
    </row>
    <row r="87" spans="1:5" x14ac:dyDescent="0.2">
      <c r="A87" s="280" t="s">
        <v>277</v>
      </c>
      <c r="B87" s="280"/>
      <c r="C87" s="280"/>
      <c r="D87" s="280"/>
      <c r="E87" s="280"/>
    </row>
    <row r="88" spans="1:5" x14ac:dyDescent="0.2">
      <c r="A88" s="280" t="s">
        <v>278</v>
      </c>
      <c r="B88" s="280"/>
      <c r="C88" s="280"/>
      <c r="D88" s="280"/>
      <c r="E88" s="280"/>
    </row>
    <row r="89" spans="1:5" ht="30" customHeight="1" x14ac:dyDescent="0.2">
      <c r="A89" s="280" t="s">
        <v>279</v>
      </c>
      <c r="B89" s="280"/>
      <c r="C89" s="280"/>
      <c r="D89" s="280"/>
      <c r="E89" s="280"/>
    </row>
    <row r="90" spans="1:5" ht="7.5" customHeight="1" x14ac:dyDescent="0.2">
      <c r="A90" s="199"/>
      <c r="B90" s="200"/>
      <c r="C90" s="152"/>
      <c r="D90" s="152"/>
      <c r="E90" s="152"/>
    </row>
    <row r="91" spans="1:5" ht="21.75" customHeight="1" x14ac:dyDescent="0.2">
      <c r="A91" s="278" t="s">
        <v>478</v>
      </c>
      <c r="B91" s="278"/>
      <c r="C91" s="278"/>
      <c r="D91" s="278"/>
      <c r="E91" s="278"/>
    </row>
    <row r="92" spans="1:5" ht="7.5" customHeight="1" x14ac:dyDescent="0.2">
      <c r="A92" s="199"/>
      <c r="B92" s="200"/>
      <c r="C92" s="152"/>
      <c r="D92" s="152"/>
      <c r="E92" s="152"/>
    </row>
    <row r="93" spans="1:5" ht="21.75" customHeight="1" x14ac:dyDescent="0.2">
      <c r="A93" s="287" t="s">
        <v>479</v>
      </c>
      <c r="B93" s="287"/>
      <c r="C93" s="287"/>
      <c r="D93" s="287"/>
      <c r="E93" s="287"/>
    </row>
    <row r="94" spans="1:5" x14ac:dyDescent="0.2">
      <c r="A94" s="199"/>
      <c r="B94" s="200"/>
      <c r="C94" s="152"/>
      <c r="D94" s="152"/>
      <c r="E94" s="152"/>
    </row>
    <row r="95" spans="1:5" ht="21.75" customHeight="1" thickBot="1" x14ac:dyDescent="0.25">
      <c r="A95" s="288" t="s">
        <v>280</v>
      </c>
      <c r="B95" s="288"/>
      <c r="C95" s="288"/>
      <c r="D95" s="288"/>
      <c r="E95" s="288"/>
    </row>
    <row r="96" spans="1:5" ht="7.5" customHeight="1" x14ac:dyDescent="0.2">
      <c r="A96" s="206"/>
      <c r="B96" s="206"/>
      <c r="C96" s="207"/>
      <c r="D96" s="207"/>
      <c r="E96" s="207"/>
    </row>
    <row r="97" spans="1:5" ht="21.75" customHeight="1" x14ac:dyDescent="0.2">
      <c r="A97" s="284" t="s">
        <v>281</v>
      </c>
      <c r="B97" s="284"/>
      <c r="C97" s="284"/>
      <c r="D97" s="284"/>
      <c r="E97" s="284"/>
    </row>
    <row r="98" spans="1:5" ht="7.5" customHeight="1" x14ac:dyDescent="0.2">
      <c r="A98" s="199"/>
      <c r="B98" s="199"/>
      <c r="C98" s="152"/>
      <c r="D98" s="152"/>
      <c r="E98" s="152"/>
    </row>
    <row r="99" spans="1:5" ht="21.75" customHeight="1" x14ac:dyDescent="0.2">
      <c r="A99" s="285" t="s">
        <v>276</v>
      </c>
      <c r="B99" s="285"/>
      <c r="C99" s="285"/>
      <c r="D99" s="285"/>
      <c r="E99" s="285"/>
    </row>
    <row r="100" spans="1:5" x14ac:dyDescent="0.2">
      <c r="A100" s="280" t="s">
        <v>282</v>
      </c>
      <c r="B100" s="280"/>
      <c r="C100" s="280"/>
      <c r="D100" s="280"/>
      <c r="E100" s="280"/>
    </row>
    <row r="101" spans="1:5" x14ac:dyDescent="0.2">
      <c r="A101" s="280" t="s">
        <v>283</v>
      </c>
      <c r="B101" s="280"/>
      <c r="C101" s="280"/>
      <c r="D101" s="280"/>
      <c r="E101" s="280"/>
    </row>
    <row r="102" spans="1:5" x14ac:dyDescent="0.2">
      <c r="A102" s="280" t="s">
        <v>284</v>
      </c>
      <c r="B102" s="280"/>
      <c r="C102" s="280"/>
      <c r="D102" s="280"/>
      <c r="E102" s="280"/>
    </row>
    <row r="103" spans="1:5" ht="21" customHeight="1" x14ac:dyDescent="0.2">
      <c r="A103" s="285" t="s">
        <v>285</v>
      </c>
      <c r="B103" s="285"/>
      <c r="C103" s="285"/>
      <c r="D103" s="285"/>
      <c r="E103" s="285"/>
    </row>
    <row r="104" spans="1:5" x14ac:dyDescent="0.2">
      <c r="A104" s="286" t="s">
        <v>286</v>
      </c>
      <c r="B104" s="286"/>
      <c r="C104" s="286"/>
      <c r="D104" s="286"/>
      <c r="E104" s="286"/>
    </row>
    <row r="105" spans="1:5" x14ac:dyDescent="0.2">
      <c r="A105" s="286" t="s">
        <v>287</v>
      </c>
      <c r="B105" s="286"/>
      <c r="C105" s="286"/>
      <c r="D105" s="286"/>
      <c r="E105" s="286"/>
    </row>
    <row r="106" spans="1:5" x14ac:dyDescent="0.2">
      <c r="A106" s="286" t="s">
        <v>288</v>
      </c>
      <c r="B106" s="286"/>
      <c r="C106" s="286"/>
      <c r="D106" s="286"/>
      <c r="E106" s="286"/>
    </row>
    <row r="107" spans="1:5" x14ac:dyDescent="0.2">
      <c r="A107" s="286" t="s">
        <v>289</v>
      </c>
      <c r="B107" s="286"/>
      <c r="C107" s="286"/>
      <c r="D107" s="286"/>
      <c r="E107" s="286"/>
    </row>
    <row r="108" spans="1:5" ht="7.5" customHeight="1" x14ac:dyDescent="0.2">
      <c r="A108" s="199"/>
      <c r="B108" s="152"/>
      <c r="C108" s="152"/>
      <c r="D108" s="152"/>
      <c r="E108" s="152"/>
    </row>
    <row r="109" spans="1:5" ht="21.75" customHeight="1" x14ac:dyDescent="0.2">
      <c r="A109" s="278" t="s">
        <v>330</v>
      </c>
      <c r="B109" s="278"/>
      <c r="C109" s="278"/>
      <c r="D109" s="278"/>
      <c r="E109" s="278"/>
    </row>
    <row r="110" spans="1:5" ht="7.5" customHeight="1" x14ac:dyDescent="0.2">
      <c r="A110" s="199"/>
      <c r="B110" s="153"/>
      <c r="C110" s="152"/>
      <c r="D110" s="152"/>
      <c r="E110" s="152"/>
    </row>
    <row r="111" spans="1:5" x14ac:dyDescent="0.2">
      <c r="A111" s="290" t="s">
        <v>480</v>
      </c>
      <c r="B111" s="290"/>
      <c r="C111" s="290"/>
      <c r="D111" s="290"/>
      <c r="E111" s="290"/>
    </row>
    <row r="112" spans="1:5" ht="21.75" customHeight="1" x14ac:dyDescent="0.2">
      <c r="A112" s="199"/>
      <c r="B112" s="153"/>
      <c r="C112" s="152"/>
      <c r="D112" s="152"/>
      <c r="E112" s="152"/>
    </row>
    <row r="113" spans="1:5" ht="21.75" customHeight="1" thickBot="1" x14ac:dyDescent="0.25">
      <c r="A113" s="291" t="s">
        <v>290</v>
      </c>
      <c r="B113" s="291"/>
      <c r="C113" s="291"/>
      <c r="D113" s="291"/>
      <c r="E113" s="291"/>
    </row>
    <row r="114" spans="1:5" ht="7.5" customHeight="1" x14ac:dyDescent="0.2">
      <c r="A114" s="208"/>
      <c r="B114" s="209"/>
      <c r="C114" s="209"/>
      <c r="D114" s="209"/>
      <c r="E114" s="209"/>
    </row>
    <row r="115" spans="1:5" ht="21.75" customHeight="1" x14ac:dyDescent="0.2">
      <c r="A115" s="284" t="s">
        <v>291</v>
      </c>
      <c r="B115" s="284"/>
      <c r="C115" s="284"/>
      <c r="D115" s="284"/>
      <c r="E115" s="284"/>
    </row>
    <row r="116" spans="1:5" ht="7.5" customHeight="1" x14ac:dyDescent="0.2">
      <c r="A116" s="199"/>
      <c r="B116" s="152"/>
      <c r="C116" s="152"/>
      <c r="D116" s="152"/>
      <c r="E116" s="152"/>
    </row>
    <row r="117" spans="1:5" ht="24" customHeight="1" x14ac:dyDescent="0.2">
      <c r="A117" s="285" t="s">
        <v>292</v>
      </c>
      <c r="B117" s="285"/>
      <c r="C117" s="285"/>
      <c r="D117" s="285"/>
      <c r="E117" s="285"/>
    </row>
    <row r="118" spans="1:5" ht="24" customHeight="1" x14ac:dyDescent="0.2">
      <c r="A118" s="280" t="s">
        <v>293</v>
      </c>
      <c r="B118" s="280"/>
      <c r="C118" s="280"/>
      <c r="D118" s="280"/>
      <c r="E118" s="280"/>
    </row>
    <row r="119" spans="1:5" ht="24" customHeight="1" x14ac:dyDescent="0.2">
      <c r="A119" s="280" t="s">
        <v>489</v>
      </c>
      <c r="B119" s="280"/>
      <c r="C119" s="280"/>
      <c r="D119" s="280"/>
      <c r="E119" s="280"/>
    </row>
    <row r="120" spans="1:5" ht="24" customHeight="1" x14ac:dyDescent="0.2">
      <c r="A120" s="280" t="s">
        <v>496</v>
      </c>
      <c r="B120" s="280"/>
      <c r="C120" s="280"/>
      <c r="D120" s="280"/>
      <c r="E120" s="280"/>
    </row>
    <row r="121" spans="1:5" x14ac:dyDescent="0.2">
      <c r="A121" s="199"/>
      <c r="B121" s="152"/>
      <c r="C121" s="152"/>
      <c r="D121" s="152"/>
      <c r="E121" s="152"/>
    </row>
    <row r="122" spans="1:5" x14ac:dyDescent="0.2">
      <c r="A122" s="285" t="s">
        <v>294</v>
      </c>
      <c r="B122" s="285"/>
      <c r="C122" s="285"/>
      <c r="D122" s="285"/>
      <c r="E122" s="285"/>
    </row>
    <row r="123" spans="1:5" x14ac:dyDescent="0.2">
      <c r="A123" s="289" t="s">
        <v>295</v>
      </c>
      <c r="B123" s="289"/>
      <c r="C123" s="289"/>
      <c r="D123" s="289"/>
      <c r="E123" s="289"/>
    </row>
    <row r="124" spans="1:5" x14ac:dyDescent="0.2">
      <c r="A124" s="289" t="s">
        <v>296</v>
      </c>
      <c r="B124" s="289"/>
      <c r="C124" s="289"/>
      <c r="D124" s="289"/>
      <c r="E124" s="289"/>
    </row>
    <row r="125" spans="1:5" x14ac:dyDescent="0.2">
      <c r="A125" s="289" t="s">
        <v>297</v>
      </c>
      <c r="B125" s="289"/>
      <c r="C125" s="289"/>
      <c r="D125" s="289"/>
      <c r="E125" s="289"/>
    </row>
    <row r="126" spans="1:5" x14ac:dyDescent="0.2">
      <c r="A126" s="289" t="s">
        <v>298</v>
      </c>
      <c r="B126" s="289"/>
      <c r="C126" s="289"/>
      <c r="D126" s="289"/>
      <c r="E126" s="289"/>
    </row>
    <row r="127" spans="1:5" x14ac:dyDescent="0.2">
      <c r="A127" s="289" t="s">
        <v>299</v>
      </c>
      <c r="B127" s="289"/>
      <c r="C127" s="289"/>
      <c r="D127" s="289"/>
      <c r="E127" s="289"/>
    </row>
    <row r="128" spans="1:5" ht="7.5" customHeight="1" x14ac:dyDescent="0.2">
      <c r="A128" s="199"/>
      <c r="B128" s="152"/>
      <c r="C128" s="152"/>
      <c r="D128" s="152"/>
      <c r="E128" s="152"/>
    </row>
    <row r="129" spans="1:5" x14ac:dyDescent="0.2">
      <c r="A129" s="278" t="s">
        <v>502</v>
      </c>
      <c r="B129" s="278"/>
      <c r="C129" s="278"/>
      <c r="D129" s="278"/>
      <c r="E129" s="278"/>
    </row>
    <row r="130" spans="1:5" ht="19.5" customHeight="1" x14ac:dyDescent="0.2">
      <c r="A130" s="199"/>
      <c r="B130" s="153"/>
      <c r="C130" s="152"/>
      <c r="D130" s="152"/>
      <c r="E130" s="152"/>
    </row>
    <row r="131" spans="1:5" x14ac:dyDescent="0.2">
      <c r="A131" s="293" t="s">
        <v>481</v>
      </c>
      <c r="B131" s="293"/>
      <c r="C131" s="293"/>
      <c r="D131" s="293"/>
      <c r="E131" s="293"/>
    </row>
    <row r="132" spans="1:5" x14ac:dyDescent="0.2">
      <c r="A132" s="199"/>
      <c r="B132" s="153"/>
      <c r="C132" s="152"/>
      <c r="D132" s="152"/>
      <c r="E132" s="152"/>
    </row>
    <row r="133" spans="1:5" ht="15.75" customHeight="1" x14ac:dyDescent="0.2">
      <c r="A133" s="294" t="s">
        <v>482</v>
      </c>
      <c r="B133" s="294"/>
      <c r="C133" s="294"/>
      <c r="D133" s="294"/>
      <c r="E133" s="294"/>
    </row>
    <row r="134" spans="1:5" x14ac:dyDescent="0.2">
      <c r="A134" s="210"/>
      <c r="B134" s="153"/>
      <c r="C134" s="152"/>
      <c r="D134" s="152"/>
      <c r="E134" s="152"/>
    </row>
    <row r="135" spans="1:5" ht="15.75" customHeight="1" x14ac:dyDescent="0.2">
      <c r="A135" s="295" t="s">
        <v>497</v>
      </c>
      <c r="B135" s="295"/>
      <c r="C135" s="295"/>
      <c r="D135" s="295"/>
      <c r="E135" s="295"/>
    </row>
    <row r="136" spans="1:5" ht="15.75" customHeight="1" x14ac:dyDescent="0.2">
      <c r="A136" s="292" t="s">
        <v>483</v>
      </c>
      <c r="B136" s="292"/>
      <c r="C136" s="292"/>
      <c r="D136" s="292"/>
      <c r="E136" s="292"/>
    </row>
  </sheetData>
  <mergeCells count="73">
    <mergeCell ref="A136:E136"/>
    <mergeCell ref="A126:E126"/>
    <mergeCell ref="A127:E127"/>
    <mergeCell ref="A129:E129"/>
    <mergeCell ref="A131:E131"/>
    <mergeCell ref="A133:E133"/>
    <mergeCell ref="A135:E135"/>
    <mergeCell ref="A125:E125"/>
    <mergeCell ref="A109:E109"/>
    <mergeCell ref="A111:E111"/>
    <mergeCell ref="A113:E113"/>
    <mergeCell ref="A115:E115"/>
    <mergeCell ref="A117:E117"/>
    <mergeCell ref="A118:E118"/>
    <mergeCell ref="A119:E119"/>
    <mergeCell ref="A120:E120"/>
    <mergeCell ref="A122:E122"/>
    <mergeCell ref="A123:E123"/>
    <mergeCell ref="A124:E124"/>
    <mergeCell ref="A107:E107"/>
    <mergeCell ref="A93:E93"/>
    <mergeCell ref="A95:E95"/>
    <mergeCell ref="A97:E97"/>
    <mergeCell ref="A99:E99"/>
    <mergeCell ref="A100:E100"/>
    <mergeCell ref="A101:E101"/>
    <mergeCell ref="A102:E102"/>
    <mergeCell ref="A103:E103"/>
    <mergeCell ref="A104:E104"/>
    <mergeCell ref="A105:E105"/>
    <mergeCell ref="A106:E106"/>
    <mergeCell ref="A91:E91"/>
    <mergeCell ref="A73:E73"/>
    <mergeCell ref="A75:E75"/>
    <mergeCell ref="A76:E76"/>
    <mergeCell ref="A77:E77"/>
    <mergeCell ref="A79:E79"/>
    <mergeCell ref="A81:E81"/>
    <mergeCell ref="A83:E83"/>
    <mergeCell ref="A85:E85"/>
    <mergeCell ref="A87:E87"/>
    <mergeCell ref="A88:E88"/>
    <mergeCell ref="A89:E89"/>
    <mergeCell ref="A71:E71"/>
    <mergeCell ref="A40:E40"/>
    <mergeCell ref="A41:E41"/>
    <mergeCell ref="A42:E42"/>
    <mergeCell ref="A43:E43"/>
    <mergeCell ref="A53:E53"/>
    <mergeCell ref="A54:E54"/>
    <mergeCell ref="A63:E63"/>
    <mergeCell ref="A65:E65"/>
    <mergeCell ref="A67:E67"/>
    <mergeCell ref="A69:E69"/>
    <mergeCell ref="A70:E70"/>
    <mergeCell ref="A39:E39"/>
    <mergeCell ref="A27:E27"/>
    <mergeCell ref="A29:E29"/>
    <mergeCell ref="A30:E30"/>
    <mergeCell ref="A31:E31"/>
    <mergeCell ref="A32:E32"/>
    <mergeCell ref="A33:E33"/>
    <mergeCell ref="A34:E34"/>
    <mergeCell ref="A35:E35"/>
    <mergeCell ref="A36:E36"/>
    <mergeCell ref="A37:E37"/>
    <mergeCell ref="A38:E38"/>
    <mergeCell ref="A25:E25"/>
    <mergeCell ref="A1:E1"/>
    <mergeCell ref="A3:E3"/>
    <mergeCell ref="A5:E5"/>
    <mergeCell ref="A9:E9"/>
    <mergeCell ref="A16:E16"/>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E13A2-18BA-FC40-93DE-28193874DDFA}">
  <dimension ref="A1:T21"/>
  <sheetViews>
    <sheetView zoomScale="88" zoomScaleNormal="88" workbookViewId="0">
      <pane xSplit="1" ySplit="2" topLeftCell="B17" activePane="bottomRight" state="frozen"/>
      <selection pane="topRight" activeCell="B1" sqref="B1"/>
      <selection pane="bottomLeft" activeCell="A3" sqref="A3"/>
      <selection pane="bottomRight" activeCell="E9" sqref="E9"/>
    </sheetView>
  </sheetViews>
  <sheetFormatPr baseColWidth="10" defaultColWidth="10.6640625" defaultRowHeight="16" x14ac:dyDescent="0.2"/>
  <cols>
    <col min="1" max="1" width="14" style="1" bestFit="1" customWidth="1"/>
    <col min="2" max="2" width="28.33203125" style="1" customWidth="1"/>
    <col min="3" max="3" width="23.33203125" style="1" customWidth="1"/>
    <col min="4" max="4" width="20" style="1" customWidth="1"/>
    <col min="5" max="5" width="13.1640625" style="1" customWidth="1"/>
    <col min="6" max="6" width="51.1640625" style="1" customWidth="1"/>
    <col min="7" max="7" width="54.5" style="1" customWidth="1"/>
    <col min="8" max="8" width="59.1640625" style="1" customWidth="1"/>
    <col min="9" max="9" width="50.6640625" style="1" customWidth="1"/>
    <col min="10" max="16384" width="10.6640625" style="1"/>
  </cols>
  <sheetData>
    <row r="1" spans="1:20" s="127" customFormat="1" ht="27" thickBot="1" x14ac:dyDescent="0.25">
      <c r="A1" s="132" t="s">
        <v>334</v>
      </c>
      <c r="B1" s="133"/>
      <c r="C1" s="133"/>
      <c r="D1" s="133"/>
      <c r="E1" s="133"/>
      <c r="F1" s="133"/>
      <c r="G1" s="133"/>
      <c r="H1" s="133"/>
      <c r="I1" s="134"/>
    </row>
    <row r="2" spans="1:20" s="3" customFormat="1" ht="19" x14ac:dyDescent="0.2">
      <c r="A2" s="11" t="s">
        <v>0</v>
      </c>
      <c r="B2" s="9" t="s">
        <v>345</v>
      </c>
      <c r="C2" s="9" t="s">
        <v>346</v>
      </c>
      <c r="D2" s="9" t="s">
        <v>1</v>
      </c>
      <c r="E2" s="9" t="s">
        <v>2</v>
      </c>
      <c r="F2" s="9" t="s">
        <v>3</v>
      </c>
      <c r="G2" s="9" t="s">
        <v>4</v>
      </c>
      <c r="H2" s="9" t="s">
        <v>5</v>
      </c>
      <c r="I2" s="10" t="s">
        <v>6</v>
      </c>
    </row>
    <row r="3" spans="1:20" ht="85" x14ac:dyDescent="0.2">
      <c r="A3" s="147">
        <v>1.1000000000000001</v>
      </c>
      <c r="B3" s="12" t="s">
        <v>7</v>
      </c>
      <c r="C3" s="13" t="s">
        <v>349</v>
      </c>
      <c r="D3" s="22" t="s">
        <v>310</v>
      </c>
      <c r="E3" s="19">
        <v>1</v>
      </c>
      <c r="F3" s="13" t="s">
        <v>9</v>
      </c>
      <c r="G3" s="13" t="s">
        <v>10</v>
      </c>
      <c r="H3" s="13" t="s">
        <v>11</v>
      </c>
      <c r="I3" s="14" t="s">
        <v>12</v>
      </c>
      <c r="J3" s="2"/>
      <c r="K3" s="2"/>
      <c r="L3" s="2"/>
      <c r="M3" s="2"/>
      <c r="N3" s="2"/>
      <c r="O3" s="2"/>
      <c r="P3" s="2"/>
      <c r="Q3" s="2"/>
      <c r="R3" s="2"/>
      <c r="S3" s="2"/>
      <c r="T3" s="2"/>
    </row>
    <row r="4" spans="1:20" ht="51" x14ac:dyDescent="0.2">
      <c r="A4" s="148">
        <v>1.2</v>
      </c>
      <c r="B4" s="15" t="s">
        <v>13</v>
      </c>
      <c r="C4" s="16" t="s">
        <v>350</v>
      </c>
      <c r="D4" s="22" t="s">
        <v>310</v>
      </c>
      <c r="E4" s="20">
        <v>1</v>
      </c>
      <c r="F4" s="16" t="s">
        <v>14</v>
      </c>
      <c r="G4" s="16" t="s">
        <v>15</v>
      </c>
      <c r="H4" s="16" t="s">
        <v>16</v>
      </c>
      <c r="I4" s="17" t="s">
        <v>17</v>
      </c>
      <c r="J4" s="2"/>
      <c r="K4" s="2"/>
      <c r="L4" s="2"/>
      <c r="M4" s="2"/>
      <c r="N4" s="2"/>
      <c r="O4" s="2"/>
      <c r="P4" s="2"/>
      <c r="Q4" s="2"/>
      <c r="R4" s="2"/>
      <c r="S4" s="2"/>
      <c r="T4" s="2"/>
    </row>
    <row r="5" spans="1:20" ht="85" x14ac:dyDescent="0.2">
      <c r="A5" s="147">
        <v>1.3</v>
      </c>
      <c r="B5" s="12" t="s">
        <v>18</v>
      </c>
      <c r="C5" s="13" t="s">
        <v>370</v>
      </c>
      <c r="D5" s="23" t="s">
        <v>333</v>
      </c>
      <c r="E5" s="19">
        <v>3</v>
      </c>
      <c r="F5" s="13" t="s">
        <v>19</v>
      </c>
      <c r="G5" s="13" t="s">
        <v>20</v>
      </c>
      <c r="H5" s="13" t="s">
        <v>21</v>
      </c>
      <c r="I5" s="14" t="s">
        <v>22</v>
      </c>
      <c r="J5" s="2"/>
      <c r="K5" s="2"/>
      <c r="L5" s="2"/>
      <c r="M5" s="2"/>
      <c r="N5" s="2"/>
      <c r="O5" s="2"/>
      <c r="P5" s="2"/>
      <c r="Q5" s="2"/>
      <c r="R5" s="2"/>
      <c r="S5" s="2"/>
      <c r="T5" s="2"/>
    </row>
    <row r="6" spans="1:20" ht="68" x14ac:dyDescent="0.2">
      <c r="A6" s="148">
        <v>1.4</v>
      </c>
      <c r="B6" s="16" t="s">
        <v>337</v>
      </c>
      <c r="C6" s="16" t="s">
        <v>351</v>
      </c>
      <c r="D6" s="23" t="s">
        <v>333</v>
      </c>
      <c r="E6" s="20">
        <v>3</v>
      </c>
      <c r="F6" s="16" t="s">
        <v>23</v>
      </c>
      <c r="G6" s="16" t="s">
        <v>24</v>
      </c>
      <c r="H6" s="16" t="s">
        <v>25</v>
      </c>
      <c r="I6" s="17" t="s">
        <v>26</v>
      </c>
      <c r="J6" s="2"/>
      <c r="K6" s="2"/>
      <c r="L6" s="2"/>
      <c r="M6" s="2"/>
      <c r="N6" s="2"/>
      <c r="O6" s="2"/>
      <c r="P6" s="2"/>
      <c r="Q6" s="2"/>
      <c r="R6" s="2"/>
      <c r="S6" s="2"/>
      <c r="T6" s="2"/>
    </row>
    <row r="7" spans="1:20" ht="68" x14ac:dyDescent="0.2">
      <c r="A7" s="147">
        <v>1.5</v>
      </c>
      <c r="B7" s="13" t="s">
        <v>338</v>
      </c>
      <c r="C7" s="13" t="s">
        <v>369</v>
      </c>
      <c r="D7" s="23" t="s">
        <v>333</v>
      </c>
      <c r="E7" s="19">
        <v>3</v>
      </c>
      <c r="F7" s="13" t="s">
        <v>23</v>
      </c>
      <c r="G7" s="13" t="s">
        <v>27</v>
      </c>
      <c r="H7" s="13" t="s">
        <v>28</v>
      </c>
      <c r="I7" s="123" t="s">
        <v>29</v>
      </c>
      <c r="J7" s="126"/>
      <c r="K7" s="2"/>
      <c r="L7" s="2"/>
      <c r="M7" s="2"/>
      <c r="N7" s="2"/>
      <c r="O7" s="2"/>
      <c r="P7" s="2"/>
      <c r="Q7" s="2"/>
      <c r="R7" s="2"/>
      <c r="S7" s="2"/>
      <c r="T7" s="2"/>
    </row>
    <row r="8" spans="1:20" ht="85" x14ac:dyDescent="0.2">
      <c r="A8" s="148">
        <v>2.1</v>
      </c>
      <c r="B8" s="16" t="s">
        <v>339</v>
      </c>
      <c r="C8" s="16" t="s">
        <v>352</v>
      </c>
      <c r="D8" s="23" t="s">
        <v>333</v>
      </c>
      <c r="E8" s="20">
        <v>4</v>
      </c>
      <c r="F8" s="16" t="s">
        <v>30</v>
      </c>
      <c r="G8" s="16" t="s">
        <v>31</v>
      </c>
      <c r="H8" s="16" t="s">
        <v>32</v>
      </c>
      <c r="I8" s="122" t="s">
        <v>33</v>
      </c>
      <c r="J8" s="126"/>
      <c r="K8" s="2"/>
      <c r="L8" s="2"/>
      <c r="M8" s="2"/>
      <c r="N8" s="2"/>
      <c r="O8" s="2"/>
      <c r="P8" s="2"/>
      <c r="Q8" s="2"/>
      <c r="R8" s="2"/>
      <c r="S8" s="2"/>
      <c r="T8" s="2"/>
    </row>
    <row r="9" spans="1:20" ht="68" x14ac:dyDescent="0.2">
      <c r="A9" s="147">
        <v>2.2000000000000002</v>
      </c>
      <c r="B9" s="13" t="s">
        <v>340</v>
      </c>
      <c r="C9" s="13" t="s">
        <v>353</v>
      </c>
      <c r="D9" s="24" t="s">
        <v>321</v>
      </c>
      <c r="E9" s="19">
        <v>5</v>
      </c>
      <c r="F9" s="16" t="s">
        <v>503</v>
      </c>
      <c r="G9" s="13" t="s">
        <v>35</v>
      </c>
      <c r="H9" s="13" t="s">
        <v>36</v>
      </c>
      <c r="I9" s="123" t="s">
        <v>37</v>
      </c>
      <c r="J9" s="126"/>
      <c r="K9" s="2"/>
      <c r="L9" s="2"/>
      <c r="M9" s="2"/>
      <c r="N9" s="2"/>
      <c r="O9" s="2"/>
      <c r="P9" s="2"/>
      <c r="Q9" s="2"/>
      <c r="R9" s="2"/>
      <c r="S9" s="2"/>
      <c r="T9" s="2"/>
    </row>
    <row r="10" spans="1:20" ht="85" x14ac:dyDescent="0.2">
      <c r="A10" s="148">
        <v>2.2999999999999998</v>
      </c>
      <c r="B10" s="16" t="s">
        <v>341</v>
      </c>
      <c r="C10" s="16" t="s">
        <v>354</v>
      </c>
      <c r="D10" s="24" t="s">
        <v>321</v>
      </c>
      <c r="E10" s="20">
        <v>5</v>
      </c>
      <c r="F10" s="16" t="s">
        <v>38</v>
      </c>
      <c r="G10" s="16" t="s">
        <v>394</v>
      </c>
      <c r="H10" s="16" t="s">
        <v>39</v>
      </c>
      <c r="I10" s="122" t="s">
        <v>395</v>
      </c>
      <c r="J10" s="126"/>
      <c r="K10" s="2"/>
      <c r="L10" s="2"/>
      <c r="M10" s="2"/>
      <c r="N10" s="2"/>
      <c r="O10" s="2"/>
      <c r="P10" s="2"/>
      <c r="Q10" s="2"/>
      <c r="R10" s="2"/>
      <c r="S10" s="2"/>
      <c r="T10" s="2"/>
    </row>
    <row r="11" spans="1:20" ht="119" x14ac:dyDescent="0.2">
      <c r="A11" s="147">
        <v>2.4</v>
      </c>
      <c r="B11" s="12" t="s">
        <v>40</v>
      </c>
      <c r="C11" s="13" t="s">
        <v>355</v>
      </c>
      <c r="D11" s="23" t="s">
        <v>333</v>
      </c>
      <c r="E11" s="19">
        <v>4</v>
      </c>
      <c r="F11" s="13" t="s">
        <v>511</v>
      </c>
      <c r="G11" s="13" t="s">
        <v>512</v>
      </c>
      <c r="H11" s="13" t="s">
        <v>513</v>
      </c>
      <c r="I11" s="123" t="s">
        <v>514</v>
      </c>
      <c r="J11" s="126"/>
      <c r="K11" s="2"/>
      <c r="L11" s="2"/>
      <c r="M11" s="2"/>
      <c r="N11" s="2"/>
      <c r="O11" s="2"/>
      <c r="P11" s="2"/>
      <c r="Q11" s="2"/>
      <c r="R11" s="2"/>
      <c r="S11" s="2"/>
      <c r="T11" s="2"/>
    </row>
    <row r="12" spans="1:20" ht="85" x14ac:dyDescent="0.2">
      <c r="A12" s="148">
        <v>2.5</v>
      </c>
      <c r="B12" s="15" t="s">
        <v>41</v>
      </c>
      <c r="C12" s="16" t="s">
        <v>356</v>
      </c>
      <c r="D12" s="24" t="s">
        <v>321</v>
      </c>
      <c r="E12" s="20">
        <v>5</v>
      </c>
      <c r="F12" s="16" t="s">
        <v>42</v>
      </c>
      <c r="G12" s="16" t="s">
        <v>43</v>
      </c>
      <c r="H12" s="16" t="s">
        <v>44</v>
      </c>
      <c r="I12" s="122" t="s">
        <v>45</v>
      </c>
      <c r="J12" s="126"/>
      <c r="K12" s="2"/>
      <c r="L12" s="2"/>
      <c r="M12" s="2"/>
      <c r="N12" s="2"/>
      <c r="O12" s="2"/>
      <c r="P12" s="2"/>
      <c r="Q12" s="2"/>
      <c r="R12" s="2"/>
      <c r="S12" s="2"/>
      <c r="T12" s="2"/>
    </row>
    <row r="13" spans="1:20" ht="68" x14ac:dyDescent="0.2">
      <c r="A13" s="147">
        <v>2.6</v>
      </c>
      <c r="B13" s="12" t="s">
        <v>46</v>
      </c>
      <c r="C13" s="13" t="s">
        <v>357</v>
      </c>
      <c r="D13" s="24" t="s">
        <v>321</v>
      </c>
      <c r="E13" s="19">
        <v>5</v>
      </c>
      <c r="F13" s="13" t="s">
        <v>19</v>
      </c>
      <c r="G13" s="13" t="s">
        <v>47</v>
      </c>
      <c r="H13" s="13" t="s">
        <v>48</v>
      </c>
      <c r="I13" s="123" t="s">
        <v>49</v>
      </c>
      <c r="J13" s="126"/>
      <c r="K13" s="2"/>
      <c r="L13" s="2"/>
      <c r="M13" s="2"/>
      <c r="N13" s="2"/>
      <c r="O13" s="2"/>
      <c r="P13" s="2"/>
      <c r="Q13" s="2"/>
      <c r="R13" s="2"/>
      <c r="S13" s="2"/>
      <c r="T13" s="2"/>
    </row>
    <row r="14" spans="1:20" ht="68" x14ac:dyDescent="0.2">
      <c r="A14" s="148">
        <v>2.7</v>
      </c>
      <c r="B14" s="15" t="s">
        <v>50</v>
      </c>
      <c r="C14" s="16" t="s">
        <v>358</v>
      </c>
      <c r="D14" s="23" t="s">
        <v>333</v>
      </c>
      <c r="E14" s="20">
        <v>3</v>
      </c>
      <c r="F14" s="16" t="s">
        <v>51</v>
      </c>
      <c r="G14" s="16" t="s">
        <v>52</v>
      </c>
      <c r="H14" s="16" t="s">
        <v>53</v>
      </c>
      <c r="I14" s="122" t="s">
        <v>54</v>
      </c>
      <c r="J14" s="126"/>
      <c r="K14" s="2"/>
      <c r="L14" s="2"/>
      <c r="M14" s="2"/>
      <c r="N14" s="2"/>
      <c r="O14" s="2"/>
      <c r="P14" s="2"/>
      <c r="Q14" s="2"/>
      <c r="R14" s="2"/>
      <c r="S14" s="2"/>
      <c r="T14" s="2"/>
    </row>
    <row r="15" spans="1:20" ht="97" customHeight="1" x14ac:dyDescent="0.2">
      <c r="A15" s="147">
        <v>2.8</v>
      </c>
      <c r="B15" s="12" t="s">
        <v>55</v>
      </c>
      <c r="C15" s="13" t="s">
        <v>359</v>
      </c>
      <c r="D15" s="23" t="s">
        <v>333</v>
      </c>
      <c r="E15" s="19">
        <v>3</v>
      </c>
      <c r="F15" s="13" t="s">
        <v>300</v>
      </c>
      <c r="G15" s="13" t="s">
        <v>302</v>
      </c>
      <c r="H15" s="13" t="s">
        <v>303</v>
      </c>
      <c r="I15" s="123" t="s">
        <v>301</v>
      </c>
      <c r="J15" s="126"/>
      <c r="K15" s="2"/>
      <c r="L15" s="2"/>
      <c r="M15" s="2"/>
      <c r="N15" s="2"/>
      <c r="O15" s="2"/>
      <c r="P15" s="2"/>
      <c r="Q15" s="2"/>
      <c r="R15" s="2"/>
      <c r="S15" s="2"/>
      <c r="T15" s="2"/>
    </row>
    <row r="16" spans="1:20" ht="97" customHeight="1" x14ac:dyDescent="0.2">
      <c r="A16" s="148">
        <v>3.1</v>
      </c>
      <c r="B16" s="16" t="s">
        <v>342</v>
      </c>
      <c r="C16" s="16" t="s">
        <v>360</v>
      </c>
      <c r="D16" s="23" t="s">
        <v>333</v>
      </c>
      <c r="E16" s="28">
        <v>4</v>
      </c>
      <c r="F16" s="16" t="s">
        <v>366</v>
      </c>
      <c r="G16" s="16" t="s">
        <v>367</v>
      </c>
      <c r="H16" s="16" t="s">
        <v>60</v>
      </c>
      <c r="I16" s="122" t="s">
        <v>368</v>
      </c>
      <c r="J16" s="126"/>
      <c r="K16" s="2"/>
      <c r="L16" s="2"/>
      <c r="M16" s="2"/>
      <c r="N16" s="2"/>
      <c r="O16" s="2"/>
      <c r="P16" s="2"/>
      <c r="Q16" s="2"/>
      <c r="R16" s="2"/>
      <c r="S16" s="2"/>
      <c r="T16" s="2"/>
    </row>
    <row r="17" spans="1:20" ht="85" x14ac:dyDescent="0.2">
      <c r="A17" s="147">
        <v>4.0999999999999996</v>
      </c>
      <c r="B17" s="13" t="s">
        <v>343</v>
      </c>
      <c r="C17" s="13" t="s">
        <v>365</v>
      </c>
      <c r="D17" s="22" t="s">
        <v>310</v>
      </c>
      <c r="E17" s="32">
        <v>1</v>
      </c>
      <c r="F17" s="31" t="s">
        <v>56</v>
      </c>
      <c r="G17" s="31" t="s">
        <v>57</v>
      </c>
      <c r="H17" s="31" t="s">
        <v>58</v>
      </c>
      <c r="I17" s="124" t="s">
        <v>59</v>
      </c>
      <c r="J17" s="126"/>
      <c r="K17" s="2"/>
      <c r="L17" s="2"/>
      <c r="M17" s="2"/>
      <c r="N17" s="2"/>
      <c r="O17" s="2"/>
      <c r="P17" s="2"/>
      <c r="Q17" s="2"/>
      <c r="R17" s="2"/>
      <c r="S17" s="2"/>
      <c r="T17" s="2"/>
    </row>
    <row r="18" spans="1:20" ht="68" x14ac:dyDescent="0.2">
      <c r="A18" s="149">
        <v>5.0999999999999996</v>
      </c>
      <c r="B18" s="16" t="s">
        <v>344</v>
      </c>
      <c r="C18" s="16" t="s">
        <v>361</v>
      </c>
      <c r="D18" s="23" t="s">
        <v>333</v>
      </c>
      <c r="E18" s="28">
        <v>3</v>
      </c>
      <c r="F18" s="16" t="s">
        <v>62</v>
      </c>
      <c r="G18" s="16" t="s">
        <v>63</v>
      </c>
      <c r="H18" s="16" t="s">
        <v>64</v>
      </c>
      <c r="I18" s="122" t="s">
        <v>65</v>
      </c>
      <c r="J18" s="126"/>
      <c r="K18" s="2"/>
      <c r="L18" s="2"/>
      <c r="M18" s="2"/>
      <c r="N18" s="2"/>
      <c r="O18" s="2"/>
      <c r="P18" s="2"/>
      <c r="Q18" s="2"/>
      <c r="R18" s="2"/>
      <c r="S18" s="2"/>
      <c r="T18" s="2"/>
    </row>
    <row r="19" spans="1:20" ht="70" x14ac:dyDescent="0.2">
      <c r="A19" s="147">
        <v>5.2</v>
      </c>
      <c r="B19" s="30" t="s">
        <v>66</v>
      </c>
      <c r="C19" s="31" t="s">
        <v>362</v>
      </c>
      <c r="D19" s="23" t="s">
        <v>333</v>
      </c>
      <c r="E19" s="32">
        <v>3</v>
      </c>
      <c r="F19" s="31" t="s">
        <v>67</v>
      </c>
      <c r="G19" s="31" t="s">
        <v>68</v>
      </c>
      <c r="H19" s="31" t="s">
        <v>69</v>
      </c>
      <c r="I19" s="124" t="s">
        <v>70</v>
      </c>
      <c r="J19" s="126"/>
      <c r="K19" s="2"/>
      <c r="L19" s="2"/>
      <c r="M19" s="2"/>
      <c r="N19" s="2"/>
      <c r="O19" s="2"/>
      <c r="P19" s="2"/>
      <c r="Q19" s="2"/>
      <c r="R19" s="2"/>
      <c r="S19" s="2"/>
      <c r="T19" s="2"/>
    </row>
    <row r="20" spans="1:20" ht="68" x14ac:dyDescent="0.2">
      <c r="A20" s="147" t="s">
        <v>71</v>
      </c>
      <c r="B20" s="13" t="s">
        <v>347</v>
      </c>
      <c r="C20" s="13" t="s">
        <v>363</v>
      </c>
      <c r="D20" s="24" t="s">
        <v>321</v>
      </c>
      <c r="E20" s="19">
        <v>5</v>
      </c>
      <c r="F20" s="13" t="s">
        <v>491</v>
      </c>
      <c r="G20" s="13" t="s">
        <v>74</v>
      </c>
      <c r="H20" s="13" t="s">
        <v>447</v>
      </c>
      <c r="I20" s="123" t="s">
        <v>492</v>
      </c>
      <c r="J20" s="126"/>
      <c r="K20" s="2"/>
      <c r="L20" s="2"/>
      <c r="M20" s="2"/>
      <c r="N20" s="2"/>
      <c r="O20" s="2"/>
      <c r="P20" s="2"/>
      <c r="Q20" s="2"/>
      <c r="R20" s="2"/>
      <c r="S20" s="2"/>
      <c r="T20" s="2"/>
    </row>
    <row r="21" spans="1:20" ht="85" x14ac:dyDescent="0.2">
      <c r="A21" s="150" t="s">
        <v>77</v>
      </c>
      <c r="B21" s="18" t="s">
        <v>348</v>
      </c>
      <c r="C21" s="18" t="s">
        <v>364</v>
      </c>
      <c r="D21" s="25" t="s">
        <v>321</v>
      </c>
      <c r="E21" s="21">
        <v>5</v>
      </c>
      <c r="F21" s="18" t="s">
        <v>79</v>
      </c>
      <c r="G21" s="18" t="s">
        <v>80</v>
      </c>
      <c r="H21" s="18" t="s">
        <v>448</v>
      </c>
      <c r="I21" s="125" t="s">
        <v>81</v>
      </c>
      <c r="J21" s="126"/>
      <c r="K21" s="2"/>
      <c r="L21" s="2"/>
      <c r="M21" s="2"/>
      <c r="N21" s="2"/>
      <c r="O21" s="2"/>
      <c r="P21" s="2"/>
      <c r="Q21" s="2"/>
      <c r="R21" s="2"/>
      <c r="S21" s="2"/>
      <c r="T21" s="2"/>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L21"/>
  <sheetViews>
    <sheetView showGridLines="0" zoomScale="98" zoomScaleNormal="98" workbookViewId="0">
      <pane xSplit="1" ySplit="2" topLeftCell="C19" activePane="bottomRight" state="frozen"/>
      <selection pane="topRight" activeCell="B1" sqref="B1"/>
      <selection pane="bottomLeft" activeCell="A3" sqref="A3"/>
      <selection pane="bottomRight" activeCell="H12" sqref="H12"/>
    </sheetView>
  </sheetViews>
  <sheetFormatPr baseColWidth="10" defaultColWidth="8.33203125" defaultRowHeight="20" customHeight="1" x14ac:dyDescent="0.2"/>
  <cols>
    <col min="1" max="1" width="13.33203125" style="29" customWidth="1"/>
    <col min="2" max="2" width="34.6640625" style="7" customWidth="1"/>
    <col min="3" max="3" width="33.33203125" style="7" customWidth="1"/>
    <col min="4" max="4" width="19.1640625" style="5" customWidth="1"/>
    <col min="5" max="5" width="36.6640625" style="7" customWidth="1"/>
    <col min="6" max="6" width="53.33203125" style="5" customWidth="1"/>
    <col min="7" max="7" width="53.33203125" style="7" customWidth="1"/>
    <col min="8" max="8" width="58.33203125" style="5" customWidth="1"/>
    <col min="9" max="9" width="46.6640625" style="5" customWidth="1"/>
    <col min="10" max="10" width="15.1640625" style="5" customWidth="1"/>
    <col min="11" max="11" width="8.33203125" style="5" customWidth="1"/>
    <col min="12" max="16384" width="8.33203125" style="5"/>
  </cols>
  <sheetData>
    <row r="1" spans="1:12" s="27" customFormat="1" ht="45" customHeight="1" thickBot="1" x14ac:dyDescent="0.25">
      <c r="A1" s="296" t="s">
        <v>331</v>
      </c>
      <c r="B1" s="297"/>
      <c r="C1" s="297"/>
      <c r="D1" s="297"/>
      <c r="E1" s="297"/>
      <c r="F1" s="297"/>
      <c r="G1" s="297"/>
      <c r="H1" s="297"/>
      <c r="I1" s="297"/>
      <c r="J1" s="297"/>
      <c r="K1" s="26"/>
    </row>
    <row r="2" spans="1:12" s="121" customFormat="1" ht="35" customHeight="1" x14ac:dyDescent="0.2">
      <c r="A2" s="115" t="s">
        <v>392</v>
      </c>
      <c r="B2" s="116" t="s">
        <v>391</v>
      </c>
      <c r="C2" s="117" t="s">
        <v>304</v>
      </c>
      <c r="D2" s="117" t="s">
        <v>1</v>
      </c>
      <c r="E2" s="117" t="s">
        <v>305</v>
      </c>
      <c r="F2" s="117" t="s">
        <v>306</v>
      </c>
      <c r="G2" s="117" t="s">
        <v>5</v>
      </c>
      <c r="H2" s="117" t="s">
        <v>307</v>
      </c>
      <c r="I2" s="118" t="s">
        <v>6</v>
      </c>
      <c r="J2" s="119" t="s">
        <v>308</v>
      </c>
      <c r="K2" s="120"/>
    </row>
    <row r="3" spans="1:12" s="6" customFormat="1" ht="100" customHeight="1" x14ac:dyDescent="0.2">
      <c r="A3" s="145">
        <v>1.1000000000000001</v>
      </c>
      <c r="B3" s="93" t="s">
        <v>7</v>
      </c>
      <c r="C3" s="94" t="s">
        <v>309</v>
      </c>
      <c r="D3" s="95" t="s">
        <v>310</v>
      </c>
      <c r="E3" s="94" t="s">
        <v>9</v>
      </c>
      <c r="F3" s="94" t="s">
        <v>10</v>
      </c>
      <c r="G3" s="94" t="s">
        <v>11</v>
      </c>
      <c r="H3" s="94" t="s">
        <v>311</v>
      </c>
      <c r="I3" s="96" t="s">
        <v>12</v>
      </c>
      <c r="J3" s="109" t="s">
        <v>396</v>
      </c>
      <c r="K3" s="8"/>
      <c r="L3" s="8"/>
    </row>
    <row r="4" spans="1:12" s="6" customFormat="1" ht="100" customHeight="1" x14ac:dyDescent="0.2">
      <c r="A4" s="146">
        <v>1.2</v>
      </c>
      <c r="B4" s="97" t="s">
        <v>13</v>
      </c>
      <c r="C4" s="98" t="s">
        <v>309</v>
      </c>
      <c r="D4" s="95" t="s">
        <v>310</v>
      </c>
      <c r="E4" s="98" t="s">
        <v>14</v>
      </c>
      <c r="F4" s="98" t="s">
        <v>15</v>
      </c>
      <c r="G4" s="98" t="s">
        <v>16</v>
      </c>
      <c r="H4" s="98" t="s">
        <v>313</v>
      </c>
      <c r="I4" s="99" t="s">
        <v>17</v>
      </c>
      <c r="J4" s="110" t="s">
        <v>396</v>
      </c>
      <c r="K4" s="8"/>
      <c r="L4" s="8"/>
    </row>
    <row r="5" spans="1:12" s="6" customFormat="1" ht="100" customHeight="1" x14ac:dyDescent="0.2">
      <c r="A5" s="145">
        <v>1.3</v>
      </c>
      <c r="B5" s="93" t="s">
        <v>18</v>
      </c>
      <c r="C5" s="94" t="s">
        <v>309</v>
      </c>
      <c r="D5" s="100" t="s">
        <v>333</v>
      </c>
      <c r="E5" s="94" t="s">
        <v>19</v>
      </c>
      <c r="F5" s="94" t="s">
        <v>20</v>
      </c>
      <c r="G5" s="94" t="s">
        <v>21</v>
      </c>
      <c r="H5" s="94" t="s">
        <v>314</v>
      </c>
      <c r="I5" s="96" t="s">
        <v>22</v>
      </c>
      <c r="J5" s="109" t="s">
        <v>315</v>
      </c>
      <c r="K5" s="8"/>
      <c r="L5" s="8"/>
    </row>
    <row r="6" spans="1:12" s="6" customFormat="1" ht="100" customHeight="1" x14ac:dyDescent="0.2">
      <c r="A6" s="146">
        <v>1.4</v>
      </c>
      <c r="B6" s="97" t="s">
        <v>337</v>
      </c>
      <c r="C6" s="98" t="s">
        <v>309</v>
      </c>
      <c r="D6" s="100" t="s">
        <v>333</v>
      </c>
      <c r="E6" s="98" t="s">
        <v>23</v>
      </c>
      <c r="F6" s="98" t="s">
        <v>24</v>
      </c>
      <c r="G6" s="98" t="s">
        <v>25</v>
      </c>
      <c r="H6" s="98" t="s">
        <v>316</v>
      </c>
      <c r="I6" s="99" t="s">
        <v>26</v>
      </c>
      <c r="J6" s="110" t="s">
        <v>315</v>
      </c>
      <c r="K6" s="8"/>
      <c r="L6" s="8"/>
    </row>
    <row r="7" spans="1:12" s="6" customFormat="1" ht="100" customHeight="1" x14ac:dyDescent="0.2">
      <c r="A7" s="145">
        <v>1.5</v>
      </c>
      <c r="B7" s="93" t="s">
        <v>338</v>
      </c>
      <c r="C7" s="94" t="s">
        <v>309</v>
      </c>
      <c r="D7" s="100" t="s">
        <v>333</v>
      </c>
      <c r="E7" s="94" t="s">
        <v>23</v>
      </c>
      <c r="F7" s="94" t="s">
        <v>27</v>
      </c>
      <c r="G7" s="94" t="s">
        <v>28</v>
      </c>
      <c r="H7" s="94" t="s">
        <v>317</v>
      </c>
      <c r="I7" s="96" t="s">
        <v>29</v>
      </c>
      <c r="J7" s="111" t="s">
        <v>315</v>
      </c>
      <c r="K7" s="8"/>
      <c r="L7" s="8"/>
    </row>
    <row r="8" spans="1:12" s="6" customFormat="1" ht="100" customHeight="1" x14ac:dyDescent="0.2">
      <c r="A8" s="146">
        <v>2.1</v>
      </c>
      <c r="B8" s="97" t="s">
        <v>339</v>
      </c>
      <c r="C8" s="98" t="s">
        <v>318</v>
      </c>
      <c r="D8" s="100" t="s">
        <v>333</v>
      </c>
      <c r="E8" s="98" t="s">
        <v>30</v>
      </c>
      <c r="F8" s="98" t="s">
        <v>31</v>
      </c>
      <c r="G8" s="98" t="s">
        <v>32</v>
      </c>
      <c r="H8" s="98" t="s">
        <v>319</v>
      </c>
      <c r="I8" s="99" t="s">
        <v>33</v>
      </c>
      <c r="J8" s="110" t="s">
        <v>320</v>
      </c>
      <c r="K8" s="8"/>
      <c r="L8" s="8"/>
    </row>
    <row r="9" spans="1:12" s="6" customFormat="1" ht="100" customHeight="1" x14ac:dyDescent="0.2">
      <c r="A9" s="145">
        <v>2.2000000000000002</v>
      </c>
      <c r="B9" s="93" t="s">
        <v>375</v>
      </c>
      <c r="C9" s="94" t="s">
        <v>318</v>
      </c>
      <c r="D9" s="101" t="s">
        <v>321</v>
      </c>
      <c r="E9" s="94" t="s">
        <v>490</v>
      </c>
      <c r="F9" s="94" t="s">
        <v>35</v>
      </c>
      <c r="G9" s="94" t="s">
        <v>36</v>
      </c>
      <c r="H9" s="94" t="s">
        <v>505</v>
      </c>
      <c r="I9" s="96" t="s">
        <v>37</v>
      </c>
      <c r="J9" s="109" t="s">
        <v>312</v>
      </c>
      <c r="K9" s="8"/>
    </row>
    <row r="10" spans="1:12" s="6" customFormat="1" ht="100" customHeight="1" x14ac:dyDescent="0.2">
      <c r="A10" s="146">
        <v>2.2999999999999998</v>
      </c>
      <c r="B10" s="93" t="s">
        <v>341</v>
      </c>
      <c r="C10" s="98" t="s">
        <v>318</v>
      </c>
      <c r="D10" s="101" t="s">
        <v>321</v>
      </c>
      <c r="E10" s="98" t="s">
        <v>38</v>
      </c>
      <c r="F10" s="98" t="s">
        <v>498</v>
      </c>
      <c r="G10" s="98" t="s">
        <v>39</v>
      </c>
      <c r="H10" s="99" t="s">
        <v>499</v>
      </c>
      <c r="I10" s="99" t="s">
        <v>395</v>
      </c>
      <c r="J10" s="110" t="s">
        <v>312</v>
      </c>
      <c r="K10" s="8"/>
    </row>
    <row r="11" spans="1:12" s="6" customFormat="1" ht="153" x14ac:dyDescent="0.2">
      <c r="A11" s="145">
        <v>2.4</v>
      </c>
      <c r="B11" s="93" t="s">
        <v>40</v>
      </c>
      <c r="C11" s="94" t="s">
        <v>318</v>
      </c>
      <c r="D11" s="100" t="s">
        <v>333</v>
      </c>
      <c r="E11" s="94" t="s">
        <v>507</v>
      </c>
      <c r="F11" s="96" t="s">
        <v>506</v>
      </c>
      <c r="G11" s="96" t="s">
        <v>508</v>
      </c>
      <c r="H11" s="96" t="s">
        <v>509</v>
      </c>
      <c r="I11" s="96" t="s">
        <v>510</v>
      </c>
      <c r="J11" s="109" t="s">
        <v>320</v>
      </c>
      <c r="K11" s="8"/>
    </row>
    <row r="12" spans="1:12" s="6" customFormat="1" ht="100" customHeight="1" x14ac:dyDescent="0.2">
      <c r="A12" s="146">
        <v>2.5</v>
      </c>
      <c r="B12" s="97" t="s">
        <v>41</v>
      </c>
      <c r="C12" s="98" t="s">
        <v>318</v>
      </c>
      <c r="D12" s="101" t="s">
        <v>321</v>
      </c>
      <c r="E12" s="98" t="s">
        <v>42</v>
      </c>
      <c r="F12" s="98" t="s">
        <v>43</v>
      </c>
      <c r="G12" s="98" t="s">
        <v>44</v>
      </c>
      <c r="H12" s="98" t="s">
        <v>504</v>
      </c>
      <c r="I12" s="99" t="s">
        <v>45</v>
      </c>
      <c r="J12" s="110" t="s">
        <v>312</v>
      </c>
      <c r="K12" s="8"/>
    </row>
    <row r="13" spans="1:12" s="6" customFormat="1" ht="100" customHeight="1" x14ac:dyDescent="0.2">
      <c r="A13" s="145">
        <v>2.6</v>
      </c>
      <c r="B13" s="93" t="s">
        <v>46</v>
      </c>
      <c r="C13" s="94" t="s">
        <v>318</v>
      </c>
      <c r="D13" s="101" t="s">
        <v>321</v>
      </c>
      <c r="E13" s="94" t="s">
        <v>19</v>
      </c>
      <c r="F13" s="94" t="s">
        <v>47</v>
      </c>
      <c r="G13" s="94" t="s">
        <v>48</v>
      </c>
      <c r="H13" s="94" t="s">
        <v>493</v>
      </c>
      <c r="I13" s="96" t="s">
        <v>49</v>
      </c>
      <c r="J13" s="109" t="s">
        <v>312</v>
      </c>
      <c r="K13" s="8"/>
    </row>
    <row r="14" spans="1:12" s="6" customFormat="1" ht="100" customHeight="1" x14ac:dyDescent="0.2">
      <c r="A14" s="146">
        <v>2.7</v>
      </c>
      <c r="B14" s="97" t="s">
        <v>50</v>
      </c>
      <c r="C14" s="98" t="s">
        <v>318</v>
      </c>
      <c r="D14" s="100" t="s">
        <v>333</v>
      </c>
      <c r="E14" s="98" t="s">
        <v>51</v>
      </c>
      <c r="F14" s="98" t="s">
        <v>52</v>
      </c>
      <c r="G14" s="98" t="s">
        <v>53</v>
      </c>
      <c r="H14" s="98" t="s">
        <v>322</v>
      </c>
      <c r="I14" s="99" t="s">
        <v>54</v>
      </c>
      <c r="J14" s="110" t="s">
        <v>315</v>
      </c>
      <c r="K14" s="8"/>
    </row>
    <row r="15" spans="1:12" s="6" customFormat="1" ht="100" customHeight="1" x14ac:dyDescent="0.2">
      <c r="A15" s="145">
        <v>2.8</v>
      </c>
      <c r="B15" s="93" t="s">
        <v>55</v>
      </c>
      <c r="C15" s="94" t="s">
        <v>318</v>
      </c>
      <c r="D15" s="100" t="s">
        <v>333</v>
      </c>
      <c r="E15" s="94" t="s">
        <v>300</v>
      </c>
      <c r="F15" s="94" t="s">
        <v>302</v>
      </c>
      <c r="G15" s="94" t="s">
        <v>303</v>
      </c>
      <c r="H15" s="94" t="s">
        <v>332</v>
      </c>
      <c r="I15" s="96" t="s">
        <v>387</v>
      </c>
      <c r="J15" s="109" t="s">
        <v>315</v>
      </c>
      <c r="K15" s="8"/>
    </row>
    <row r="16" spans="1:12" s="6" customFormat="1" ht="100" customHeight="1" x14ac:dyDescent="0.2">
      <c r="A16" s="146">
        <v>3.1</v>
      </c>
      <c r="B16" s="98" t="s">
        <v>342</v>
      </c>
      <c r="C16" s="98" t="s">
        <v>388</v>
      </c>
      <c r="D16" s="100" t="s">
        <v>333</v>
      </c>
      <c r="E16" s="98" t="s">
        <v>379</v>
      </c>
      <c r="F16" s="98" t="s">
        <v>378</v>
      </c>
      <c r="G16" s="98" t="s">
        <v>384</v>
      </c>
      <c r="H16" s="98" t="s">
        <v>385</v>
      </c>
      <c r="I16" s="99" t="s">
        <v>386</v>
      </c>
      <c r="J16" s="110" t="s">
        <v>320</v>
      </c>
      <c r="K16" s="8"/>
    </row>
    <row r="17" spans="1:11" s="6" customFormat="1" ht="100" customHeight="1" x14ac:dyDescent="0.2">
      <c r="A17" s="145">
        <v>4.0999999999999996</v>
      </c>
      <c r="B17" s="94" t="s">
        <v>376</v>
      </c>
      <c r="C17" s="94" t="s">
        <v>389</v>
      </c>
      <c r="D17" s="95" t="s">
        <v>310</v>
      </c>
      <c r="E17" s="94" t="s">
        <v>56</v>
      </c>
      <c r="F17" s="94" t="s">
        <v>380</v>
      </c>
      <c r="G17" s="94" t="s">
        <v>381</v>
      </c>
      <c r="H17" s="94" t="s">
        <v>382</v>
      </c>
      <c r="I17" s="96" t="s">
        <v>383</v>
      </c>
      <c r="J17" s="109" t="s">
        <v>396</v>
      </c>
      <c r="K17" s="8"/>
    </row>
    <row r="18" spans="1:11" s="6" customFormat="1" ht="100" customHeight="1" x14ac:dyDescent="0.2">
      <c r="A18" s="146">
        <v>5.0999999999999996</v>
      </c>
      <c r="B18" s="102" t="s">
        <v>61</v>
      </c>
      <c r="C18" s="103" t="s">
        <v>390</v>
      </c>
      <c r="D18" s="100" t="s">
        <v>333</v>
      </c>
      <c r="E18" s="103" t="s">
        <v>62</v>
      </c>
      <c r="F18" s="103" t="s">
        <v>63</v>
      </c>
      <c r="G18" s="103" t="s">
        <v>64</v>
      </c>
      <c r="H18" s="103" t="s">
        <v>323</v>
      </c>
      <c r="I18" s="104" t="s">
        <v>65</v>
      </c>
      <c r="J18" s="112" t="s">
        <v>315</v>
      </c>
      <c r="K18" s="8"/>
    </row>
    <row r="19" spans="1:11" s="6" customFormat="1" ht="100" customHeight="1" x14ac:dyDescent="0.2">
      <c r="A19" s="113" t="s">
        <v>377</v>
      </c>
      <c r="B19" s="94" t="s">
        <v>66</v>
      </c>
      <c r="C19" s="94" t="s">
        <v>444</v>
      </c>
      <c r="D19" s="100" t="s">
        <v>333</v>
      </c>
      <c r="E19" s="94" t="s">
        <v>67</v>
      </c>
      <c r="F19" s="94" t="s">
        <v>68</v>
      </c>
      <c r="G19" s="94" t="s">
        <v>69</v>
      </c>
      <c r="H19" s="94" t="s">
        <v>324</v>
      </c>
      <c r="I19" s="94" t="s">
        <v>70</v>
      </c>
      <c r="J19" s="109" t="s">
        <v>315</v>
      </c>
      <c r="K19" s="8"/>
    </row>
    <row r="20" spans="1:11" s="6" customFormat="1" ht="100" customHeight="1" x14ac:dyDescent="0.2">
      <c r="A20" s="114" t="s">
        <v>71</v>
      </c>
      <c r="B20" s="105" t="s">
        <v>72</v>
      </c>
      <c r="C20" s="94" t="s">
        <v>441</v>
      </c>
      <c r="D20" s="106" t="s">
        <v>321</v>
      </c>
      <c r="E20" s="105" t="s">
        <v>495</v>
      </c>
      <c r="F20" s="105" t="s">
        <v>74</v>
      </c>
      <c r="G20" s="105" t="s">
        <v>75</v>
      </c>
      <c r="H20" s="105" t="s">
        <v>494</v>
      </c>
      <c r="I20" s="107" t="s">
        <v>76</v>
      </c>
      <c r="J20" s="112" t="s">
        <v>312</v>
      </c>
      <c r="K20" s="8"/>
    </row>
    <row r="21" spans="1:11" s="6" customFormat="1" ht="100" customHeight="1" x14ac:dyDescent="0.2">
      <c r="A21" s="113" t="s">
        <v>77</v>
      </c>
      <c r="B21" s="94" t="s">
        <v>78</v>
      </c>
      <c r="C21" s="94" t="s">
        <v>441</v>
      </c>
      <c r="D21" s="108" t="s">
        <v>321</v>
      </c>
      <c r="E21" s="94" t="s">
        <v>79</v>
      </c>
      <c r="F21" s="94" t="s">
        <v>80</v>
      </c>
      <c r="G21" s="94" t="s">
        <v>443</v>
      </c>
      <c r="H21" s="94" t="s">
        <v>442</v>
      </c>
      <c r="I21" s="94" t="s">
        <v>81</v>
      </c>
      <c r="J21" s="109" t="s">
        <v>312</v>
      </c>
      <c r="K21" s="8"/>
    </row>
  </sheetData>
  <mergeCells count="1">
    <mergeCell ref="A1:J1"/>
  </mergeCells>
  <pageMargins left="1" right="1" top="1" bottom="1" header="0.25" footer="0.25"/>
  <pageSetup orientation="portrait"/>
  <headerFooter>
    <oddFooter>&amp;C&amp;"Helvetica Neue,Regular"&amp;12&amp;K000000&amp;P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Props1.xml><?xml version="1.0" encoding="utf-8"?>
<ds:datastoreItem xmlns:ds="http://schemas.openxmlformats.org/officeDocument/2006/customXml" ds:itemID="{1F48E296-90D9-4A92-A29D-759F46DCA7D9}">
  <ds:schemaRefs>
    <ds:schemaRef ds:uri="http://schemas.microsoft.com/sharepoint/v3/contenttype/forms"/>
  </ds:schemaRefs>
</ds:datastoreItem>
</file>

<file path=customXml/itemProps2.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Summary</vt:lpstr>
      <vt:lpstr>Methodology</vt:lpstr>
      <vt:lpstr>Rating Criteria</vt:lpstr>
      <vt:lpstr>Evidence Matrix</vt:lpstr>
      <vt:lpstr>Output Assessment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2018-06-07T17:34:22Z</dcterms:created>
  <dcterms:modified xsi:type="dcterms:W3CDTF">2026-10-12T10:06:40Z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