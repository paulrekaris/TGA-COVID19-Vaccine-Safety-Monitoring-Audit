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8"/>
  <workbookPr filterPrivacy="1" defaultThemeVersion="166925"/>
  <xr:revisionPtr revIDLastSave="0" documentId="13_ncr:1_{96FFFD06-A490-C14F-B62F-18E3F620F459}" xr6:coauthVersionLast="47" xr6:coauthVersionMax="47" xr10:uidLastSave="{00000000-0000-0000-0000-000000000000}"/>
  <bookViews>
    <workbookView xWindow="0" yWindow="0" windowWidth="38400" windowHeight="21600" activeTab="3" xr2:uid="{51658058-8315-A640-B733-1DFC39D6EEC8}"/>
  </bookViews>
  <sheets>
    <sheet name="Evidence Matrix" sheetId="1" r:id="rId1"/>
    <sheet name="Summary" sheetId="2" r:id="rId2"/>
    <sheet name="Methodology" sheetId="3" r:id="rId3"/>
    <sheet name="Ratings Criteria" sheetId="4" r:id="rId4"/>
    <sheet name="output-assessment" sheetId="5"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7" i="2" l="1"/>
  <c r="D17" i="2"/>
  <c r="C17" i="2"/>
  <c r="B17" i="2"/>
  <c r="E16" i="2"/>
  <c r="E15" i="2"/>
  <c r="E14" i="2"/>
  <c r="E13" i="2"/>
  <c r="E12" i="2"/>
  <c r="E11" i="2"/>
  <c r="E10" i="2"/>
  <c r="C7" i="2"/>
  <c r="B7" i="2"/>
  <c r="C6" i="2" s="1"/>
  <c r="C4" i="2" l="1"/>
  <c r="C5" i="2"/>
</calcChain>
</file>

<file path=xl/sharedStrings.xml><?xml version="1.0" encoding="utf-8"?>
<sst xmlns="http://schemas.openxmlformats.org/spreadsheetml/2006/main" count="636" uniqueCount="419">
  <si>
    <t>Output ID</t>
  </si>
  <si>
    <t>Plan Commitment</t>
  </si>
  <si>
    <t>Objective</t>
  </si>
  <si>
    <t>Status</t>
  </si>
  <si>
    <t>Rating (1-5)</t>
  </si>
  <si>
    <t>Evidence Sources</t>
  </si>
  <si>
    <t>Findings</t>
  </si>
  <si>
    <t>Documentation Gaps</t>
  </si>
  <si>
    <t>Key References</t>
  </si>
  <si>
    <t>Enhanced reporting of AEFI</t>
  </si>
  <si>
    <t>AEFI Management</t>
  </si>
  <si>
    <t>Fully Implemented</t>
  </si>
  <si>
    <t>FOI 3643, FOI 25-0166, TGA public website, 150+ weekly safety reports, OAIC searches</t>
  </si>
  <si>
    <t>Information on how to report AEFI published on TGA website; public communications campaign documented; 150+ weekly/fortnightly safety reports published March 2021-November 2023 demonstrating consistent public reporting</t>
  </si>
  <si>
    <t>None - fully documented and operational system with clear public outputs</t>
  </si>
  <si>
    <t>TGA COVID-19 Vaccine Safety Reports archive; TGA website reporting information; Surveillance Analysis (150+ reports documented)</t>
  </si>
  <si>
    <t>Enhanced AEFI reporting forms</t>
  </si>
  <si>
    <t>FOI 3643, TGA public forms, OAIC searches</t>
  </si>
  <si>
    <t>Updated TGA AEFI forms published and publicly available; forms contain COVID-19 specific fields; evidence of form updates in 2021</t>
  </si>
  <si>
    <t>None - forms updated and publicly available</t>
  </si>
  <si>
    <t>TGA AEFI reporting forms (publicly available); FOI 3643 references form updates</t>
  </si>
  <si>
    <t>Enhanced AEFI report sharing</t>
  </si>
  <si>
    <t>Partially Documented</t>
  </si>
  <si>
    <t>FOI 3643, FOI 25-0166, OAIC MR22/00538 searches</t>
  </si>
  <si>
    <t>Weekly reports show aggregate data sharing occurred; state/territory data visible in reports indicating some sharing mechanisms existed</t>
  </si>
  <si>
    <t>No documented criteria and processes for timely sharing of reports between TGA and jurisdictions; no documented data-sharing protocols or agreements; automated data flows likely existed but no framework documentation identified</t>
  </si>
  <si>
    <t>TGA Weekly Safety Reports (state/territory data visible); OAIC searches found no sharing protocols; FOI 3643 no framework docs</t>
  </si>
  <si>
    <t>Enhanced AEFI data capabilities</t>
  </si>
  <si>
    <t>FOI 3643, FOI 25-0166, OAIC MR22/00538 searches, TGA weekly reports</t>
  </si>
  <si>
    <t>Evidence of significant activity: 140,000+ DAEN reports processed, 150+ weekly reports produced over 33 months; data processing clearly occurred at scale</t>
  </si>
  <si>
    <t>No documentation of enhanced database preparation, new system protocols, or COVID-specific data infrastructure; processing occurred but whether 'enhanced' vs routine systems unclear</t>
  </si>
  <si>
    <t>Surveillance Analysis (140,000+ DAEN reports documented); OAIC searches found no system enhancement documentation; Senate testimony: 'day-to-day processes'</t>
  </si>
  <si>
    <t>Enhanced AEFI report escalation</t>
  </si>
  <si>
    <t>Clinical reviews of serious cases clearly occurred; 148 signals investigated demonstrating escalation processes existed; 57 regulatory actions taken</t>
  </si>
  <si>
    <t>No documented COVID-specific escalation criteria; no updated SOPs for COVID vaccine escalation; criteria for what triggers escalation vs routine handling not documented</t>
  </si>
  <si>
    <t>Surveillance Analysis (148 signals investigated); OAIC searches found no escalation protocols; FOI 3643 no COVID-specific criteria</t>
  </si>
  <si>
    <t>Understanding safety profiles</t>
  </si>
  <si>
    <t>Signal ID &amp; Assessment</t>
  </si>
  <si>
    <t>FOI 3643, FOI 4029-03, OAIC MR22/00538 searches</t>
  </si>
  <si>
    <t>List of AESI (Adverse Events of Special Interest) was used; TGA weekly reports reference monitoring specific conditions</t>
  </si>
  <si>
    <t>No documentation of established expected rates or calculated background rates for AESI; FOI 4029-03 shows PRR/MaxSPRT capacity (Sep 2021) but public reports lack statistical methodology outputs</t>
  </si>
  <si>
    <t>FOI 4029-03 (ACV presentation Sep 2021 shows capability); Surveillance Analysis (expected rates used without methodology); OAIC searches found no background rate documentation</t>
  </si>
  <si>
    <t>Protocols for investigating AEFI</t>
  </si>
  <si>
    <t>Not Documented</t>
  </si>
  <si>
    <t>FOI 3643, FOI 25-0166, OAIC MR22/00538 searches (531 containers), FOI 5275</t>
  </si>
  <si>
    <t>OAIC comprehensive searches: zero COVID-19 vaccine specific investigation protocols found; TGA characterised monitoring as 'day-to-day processes' (Senate Oct 2025)</t>
  </si>
  <si>
    <t>No specific investigation protocols for COVID-19 vaccines documented; no COVID-specific SOPs located; no documented methodology for how 148 signals were investigated</t>
  </si>
  <si>
    <t>OAIC Decision AICmr 54 (searches found no protocols); Senate Hansard 9 Oct 2025 ('day-to-day processes'); Surveillance Analysis (148 signals investigated but no published investigation protocols)</t>
  </si>
  <si>
    <t>Enhanced cumulative data reviews</t>
  </si>
  <si>
    <t>FOI 3643, FOI 25-0166, FOI 4029-03, OAIC MR22/00538 searches, FOI 5275</t>
  </si>
  <si>
    <t>FOI 4029-03: TGA presented PRR/MaxSPRT/AIR-denominator methodology to Advisory Committee (Sep 2021); FOI 5275: TGA states does not hold incidence data for AusPAR monitoring conditions (Aug 2024)</t>
  </si>
  <si>
    <t>Zero documentation of refined cumulative review processes in public reports; no statistical methodologies published; no subpopulation analysis frameworks documented; no AIR-denominator outputs in public reports despite ACV presentation</t>
  </si>
  <si>
    <t>FOI 4029-03 pp.4-6 (PRR≥1/cases≥2, MaxSPRT, AIR-denominator); FOI 5275 (no incidence data held); Surveillance Analysis (expected rates without methodology); OAIC searches found no cumulative review documentation</t>
  </si>
  <si>
    <t>Active surveillance (AusVaxSafety)</t>
  </si>
  <si>
    <t>AusVaxSafety infrastructure operated effectively: 6,887,520 COVID-19 vaccine safety surveys completed; 62,000+ medical visits documented; data appears in TGA weekly reports</t>
  </si>
  <si>
    <t>No documented coordination protocols between TGA and AusVaxSafety; no integration methodology found; OAIC searches did not use 'AusVaxSafety' as search term despite Output 2.4 commitment; no documented bridge between 6.8M surveys and 148 TGA signals</t>
  </si>
  <si>
    <t>Clinical studies and reports</t>
  </si>
  <si>
    <t>FOI 3643, FOI 25-0166, FOI 5275, OAIC MR22/00538 searches</t>
  </si>
  <si>
    <t>OAIC searches: zero documentation of new processes for analysing sponsor-submitted reports; FOI 5275 corroborates absence</t>
  </si>
  <si>
    <t>No documented processes for analysing clinical studies/reports from sponsors; no evidence of enhanced review protocols for COVID vaccine sponsor submissions</t>
  </si>
  <si>
    <t>OAIC Decision AICmr 54 (no documentation found); FOI 5275 (independent applicant, corroborating gaps); OAIC MR22/00538 submission (searches found zero processes)</t>
  </si>
  <si>
    <t>Environmental scanning</t>
  </si>
  <si>
    <t>OAIC searches: no documented processes for systematic environmental scanning activities identified</t>
  </si>
  <si>
    <t>No documented systematic environmental scanning processes; no evidence of formal literature review protocols or regulatory intelligence gathering frameworks</t>
  </si>
  <si>
    <t>OAIC Decision AICmr 54 (no processes found); OAIC MR22/00538 submission (comprehensive searches found no scanning protocols)</t>
  </si>
  <si>
    <t>International safety signals</t>
  </si>
  <si>
    <t>FOI 3643, FOI 25-0166, OAIC MR22/00538 searches, TGA public statements</t>
  </si>
  <si>
    <t>TGA co-chaired ICMRA COVID-19 Vaccine Safety working group; international engagement clearly occurred; some information sharing evidenced in TGA statements</t>
  </si>
  <si>
    <t>No documented processes for systematic information sharing with international regulators; no protocols for how international signals incorporated into Australian assessments</t>
  </si>
  <si>
    <t>TGA ICMRA participation documented publicly; OAIC searches found no information-sharing protocols; Surveillance Analysis notes international engagement but no systematic framework</t>
  </si>
  <si>
    <t>Expert advice</t>
  </si>
  <si>
    <t>Communications and media</t>
  </si>
  <si>
    <t>Clear Communication</t>
  </si>
  <si>
    <t>FOI 3643, TGA website, 150+ weekly safety reports, TGA media releases, public statements</t>
  </si>
  <si>
    <t>150+ weekly/fortnightly safety reports published March 2021-November 2023; TGA media releases on regulatory actions; public website content; consumer information materials</t>
  </si>
  <si>
    <t>None - extensive public communication documented</t>
  </si>
  <si>
    <t>Surveillance Analysis (150+ reports documented); TGA COVID-19 Vaccine Safety Reports archive; TGA media releases; TGA website communications</t>
  </si>
  <si>
    <t>Data integration</t>
  </si>
  <si>
    <t>Data Integration</t>
  </si>
  <si>
    <t>Data from multiple sources accessed: DAEN (140K+ reports), AusVaxSafety (6.8M surveys), state/territory reporting, sponsor submissions; reports show data was compiled</t>
  </si>
  <si>
    <t>No documented framework or protocol for systematic integration of data sources; no documented methodology for reconciling DAEN vs AusVaxSafety; Phillips et al (2021) identified 'parallel systems' gap</t>
  </si>
  <si>
    <t>Surveillance Analysis (140K DAEN, 6.8M AusVaxSafety, both in reports but no integration methodology); Phillips et al 2021 Vaccine ('parallel systems'); OAIC searches found no integration protocols</t>
  </si>
  <si>
    <t>Contribution to research</t>
  </si>
  <si>
    <t>Research Contribution</t>
  </si>
  <si>
    <t>FOI 3643, FOI 25-0166, OAIC MR22/00538 searches, academic literature</t>
  </si>
  <si>
    <t>TGA officials may have engaged in research; some academic publications with TGA co-authors exist</t>
  </si>
  <si>
    <t>No documented research plan linked to the Safety Plan; no protocols or outputs explicitly tied to Plan Objective 5; OAIC noted difficulty interpreting Objective 5 for search purposes</t>
  </si>
  <si>
    <t>OAIC MR22/00538 ('unable to meaningfully interpret' Objective 5); OAIC searches found no Plan-linked research outputs; FOI 3643 no research documentation</t>
  </si>
  <si>
    <t>COLLAB.1</t>
  </si>
  <si>
    <t>National collaborations</t>
  </si>
  <si>
    <t>Collaborations</t>
  </si>
  <si>
    <t>FOI 3643, FOI 25-0166, OAIC MR22/00538 searches, TGA weekly reports (state data visible)</t>
  </si>
  <si>
    <t>Collaboration with state/territory health departments clearly occurred; data from jurisdictions appears in TGA reports; meetings and coordination evidenced</t>
  </si>
  <si>
    <t>No documented frameworks for systematic national coordination; no formal agreements or MoUs identified; coordination ACTIVITY occurred but formal FRAMEWORKS not documented</t>
  </si>
  <si>
    <t>Surveillance Analysis (state/territory data in reports shows coordination); OAIC searches found no collaboration frameworks; FOI 3643 no coordination protocols</t>
  </si>
  <si>
    <t>COLLAB.2</t>
  </si>
  <si>
    <t>International collaborations</t>
  </si>
  <si>
    <t>FOI 3643, FOI 25-0166, OAIC MR22/00538 searches, TGA ICMRA statements</t>
  </si>
  <si>
    <t>TGA participated in ICMRA COVID-19 Vaccine Safety working group (co-chair documented); international regulatory engagement occurred</t>
  </si>
  <si>
    <t>No documented processes for systematic international information sharing beyond ICMRA participation; formal information exchange protocols not evidenced</t>
  </si>
  <si>
    <t>TGA ICMRA participation documented; OAIC searches found no systematic information-sharing protocols; Output 2.7 covers similar ground</t>
  </si>
  <si>
    <t>GOV.1</t>
  </si>
  <si>
    <t>Implementation oversight</t>
  </si>
  <si>
    <t>Governance</t>
  </si>
  <si>
    <t>FOI 3643, FOI 25-0166, OAIC MR22/00538 searches (531 containers), Senate testimony Oct 2025</t>
  </si>
  <si>
    <t>Senate testimony (9 Oct 2025): TGA admits monitoring 'never systematically tracked' against Plan; OAIC searches: zero governance documentation found</t>
  </si>
  <si>
    <t>No oversight committees documented; no progress reports identified; no performance metrics tracking against Plan outputs; no evidence of Plan-level governance</t>
  </si>
  <si>
    <t>Senate Hansard 9 Oct 2025 ('day-to-day processes never systematically tracked'); OAIC Decision AICmr 54; OAIC MR22/00538 (531 containers, zero governance docs); FOI 3643 (Feb 2022: 'no implementation report exists')</t>
  </si>
  <si>
    <t>GOV.2</t>
  </si>
  <si>
    <t>Performance measurement</t>
  </si>
  <si>
    <t>FOI 3643, FOI 25-0166, OAIC MR22/00538 searches, Senate testimony Oct 2025, Surveillance Analysis (150+ reports)</t>
  </si>
  <si>
    <t>Senate testimony confirms absence; FOI 3643 (Feb 2022) Kay email: 'no implementation report'; Surveillance Analysis: 150+ reports contain zero Plan references or output tracking</t>
  </si>
  <si>
    <t>Total absence of performance metrics; no tracking of 20 outputs; no KPIs documented; 150+ weekly reports contain zero Plan framework references; no assessment at programme cessation (Nov 2023)</t>
  </si>
  <si>
    <t>Senate Hansard 9 Oct 2025; FOI 3643 Kay email 23 Feb 2022 ('no implementation report... entering phase of reviewing'); Surveillance Analysis (zero Plan references across 150+ reports); OAIC searches found zero performance tracking</t>
  </si>
  <si>
    <t>Assessment Evidence Matrix - Summary Dashboard</t>
  </si>
  <si>
    <t>OVERALL STATUS SUMMARY</t>
  </si>
  <si>
    <t>Count</t>
  </si>
  <si>
    <t>Percentage</t>
  </si>
  <si>
    <t>TOTAL</t>
  </si>
  <si>
    <t>STATUS BY OBJECTIVE</t>
  </si>
  <si>
    <t>Total</t>
  </si>
  <si>
    <t>RATING BY OBJECTIVE</t>
  </si>
  <si>
    <t>Avg Rating</t>
  </si>
  <si>
    <t>Min</t>
  </si>
  <si>
    <t>Max</t>
  </si>
  <si>
    <t>OVERALL</t>
  </si>
  <si>
    <t>TGA-COVID19-Vaccine-Safety-Plan-Evidence-Matrix</t>
  </si>
  <si>
    <t>FOI 3643, FOI 25-0166, OAIC MR22/00538 searches,  FOI 5082, AusVaxSafety public reports, TGA weekly reports</t>
  </si>
  <si>
    <t>Overview</t>
  </si>
  <si>
    <t>This audit operates within defined methodological boundaries consistent with ISO 19011:2018 (management systems auditing), ANAO performance audit methodology, and OSINT best practice.</t>
  </si>
  <si>
    <t>Complete Methodology: ISO 19011 Management Systems Audit</t>
  </si>
  <si>
    <r>
      <t>Repository:</t>
    </r>
    <r>
      <rPr>
        <sz val="12"/>
        <color theme="1"/>
        <rFont val="Calibri"/>
        <family val="2"/>
        <scheme val="minor"/>
      </rPr>
      <t xml:space="preserve"> https://github.com/paulrekaris/TGA-COVID19-Vaccine-Safety-Monitoring-Audit</t>
    </r>
  </si>
  <si>
    <t>Key Assumptions</t>
  </si>
  <si>
    <t>Assumption</t>
  </si>
  <si>
    <t>Basis</t>
  </si>
  <si>
    <t>Properly implemented government policies should be documented</t>
  </si>
  <si>
    <t>Commonwealth accountability frameworks require documented evidence of performance (PGPA Act 2013 s37, Archives Act 1983)</t>
  </si>
  <si>
    <t>FOI Act provides adequate access to government records</t>
  </si>
  <si>
    <t>Freedom of Information Act 1982 establishes statutory right to access government documents; OAIC provides independent oversight of FOI processes</t>
  </si>
  <si>
    <t>TGA's OAIC-directed searches were comprehensive</t>
  </si>
  <si>
    <t>September 2024 searches of 531+ TRIM containers under OAIC statutory direction represent TGA's own assessment of what documentation exists</t>
  </si>
  <si>
    <t>Senate testimony under parliamentary privilege is reliable</t>
  </si>
  <si>
    <t>Official statements by TGA senior officials under oath to Senate committees constitute authoritative evidence of implementation status</t>
  </si>
  <si>
    <t>Published monitoring activities reflect documented processes</t>
  </si>
  <si>
    <t>If enhanced monitoring was systematically implemented per the Plan framework, evidence should be visible in 150+ published safety reports across 33 months</t>
  </si>
  <si>
    <t>Absence of documentation in accessible records constitutes accountability gap</t>
  </si>
  <si>
    <t>Under Commonwealth governance, inability to verify implementation through documentation represents failure of accountability mechanisms, not proof activities didn't occur</t>
  </si>
  <si>
    <t>Audit conclusions drawn from available evidence are valid</t>
  </si>
  <si>
    <t>Per ISO 19011:2018 Section 6.4.10, audit conclusions are based on evidence made available to auditor within defined scope, not hypothetical evidence that might exist elsewhere</t>
  </si>
  <si>
    <t>Methodological Limitations</t>
  </si>
  <si>
    <t>Access Limitations</t>
  </si>
  <si>
    <t>Limitation</t>
  </si>
  <si>
    <t>Description</t>
  </si>
  <si>
    <t>Impact on Audit</t>
  </si>
  <si>
    <t>No internal access</t>
  </si>
  <si>
    <t>No access to TGA internal systems, databases, or non-public records</t>
  </si>
  <si>
    <t>Cannot verify undocumented internal processes; reliant on documented evidence only</t>
  </si>
  <si>
    <t>No staff interviews</t>
  </si>
  <si>
    <t>No direct consultation with TGA personnel or operational walkthroughs</t>
  </si>
  <si>
    <t>Cannot assess tacit knowledge or informal practices; reliant on formal documentation</t>
  </si>
  <si>
    <t>No on-site verification</t>
  </si>
  <si>
    <t>All assessment based on documentary evidence only</t>
  </si>
  <si>
    <t>Cannot observe operational processes; must rely on documented outputs and admissions</t>
  </si>
  <si>
    <t>Evidence Constraints</t>
  </si>
  <si>
    <t>Constraint</t>
  </si>
  <si>
    <t>FOI dependency</t>
  </si>
  <si>
    <t>Reliant on TGA's FOI responsiveness and record-keeping quality</t>
  </si>
  <si>
    <t>Evidence base limited to what TGA discloses or confirms doesn't exist through FOI processes</t>
  </si>
  <si>
    <t>Public records only</t>
  </si>
  <si>
    <t>Limited to publicly released or FOI-obtained documentation</t>
  </si>
  <si>
    <t>Cannot access documents exempted from FOI or never created/retained</t>
  </si>
  <si>
    <t>Search limitations</t>
  </si>
  <si>
    <t>Cannot verify completeness of TGA's internal searches beyond OAIC-directed processes</t>
  </si>
  <si>
    <t>Reliant on TGA's representation that comprehensive searches conducted; OAIC validation provides independent assurance</t>
  </si>
  <si>
    <t>Resource Constraints</t>
  </si>
  <si>
    <t>Single auditor</t>
  </si>
  <si>
    <t>Independent researcher without institutional backing or team resources</t>
  </si>
  <si>
    <t>Limited capacity compared to government audit bodies; compensated through systematic methodology and extended timeframe</t>
  </si>
  <si>
    <t>No formal peer review</t>
  </si>
  <si>
    <t>Citizen-led audit without formal peer review process during evidence collection</t>
  </si>
  <si>
    <t>Quality assurance through methodology transparency, public repository enabling scrutiny, and adherence to established audit standards</t>
  </si>
  <si>
    <t>Time limitations</t>
  </si>
  <si>
    <t>Four-year investigation period (2022-2026) may not capture all relevant documentation</t>
  </si>
  <si>
    <t>Extended timeframe provides thorough coverage but cannot guarantee all future disclosures captured</t>
  </si>
  <si>
    <t>Scope Boundaries</t>
  </si>
  <si>
    <t>Boundary</t>
  </si>
  <si>
    <t>What's Excluded</t>
  </si>
  <si>
    <t>Documentation focus only</t>
  </si>
  <si>
    <t>Examines documented evidence of Plan implementation</t>
  </si>
  <si>
    <t>Does not assess clinical safety/efficacy of vaccines, appropriateness of individual regulatory decisions, or operational competence of TGA staff</t>
  </si>
  <si>
    <t>Process audit</t>
  </si>
  <si>
    <t>Evaluates documented evidence of implementation, not internal tacit knowledge</t>
  </si>
  <si>
    <t>Does not assess undocumented practices, informal processes, or staff expertise/intentions</t>
  </si>
  <si>
    <t>Commonwealth focus</t>
  </si>
  <si>
    <t>Primarily examines TGA responsibilities under Commonwealth frameworks</t>
  </si>
  <si>
    <t>Limited visibility into state/territory implementation; focuses on federal accountability mechanisms</t>
  </si>
  <si>
    <t>Evidence Boundaries and Assurance Level</t>
  </si>
  <si>
    <t>ISO 19011 Foundational Principle:</t>
  </si>
  <si>
    <t>ISO 19011:2018 Section 6.4.10 establishes that "audit conclusions are based on the audit evidence made available to the auditor" within the defined audit scope. Auditors draw conclusions from accessible evidence, not from hypothetical evidence that might exist but cannot be verified within audit boundaries.</t>
  </si>
  <si>
    <t>Evidence Sources Within Audit Boundaries</t>
  </si>
  <si>
    <t>Source Category</t>
  </si>
  <si>
    <t>Specific Sources</t>
  </si>
  <si>
    <t>Evidence Quality</t>
  </si>
  <si>
    <t>Limitations</t>
  </si>
  <si>
    <t>1. Publicly Accessible Sources</t>
  </si>
  <si>
    <t>TGA website, published safety reports (150+), regulatory guidance, parliamentary records (Senate Hansard), partner organisation reports (AusVaxSafety, NCIRS), academic peer-reviewed literature</t>
  </si>
  <si>
    <t>High - independently verifiable, publicly available</t>
  </si>
  <si>
    <t>Limited to what TGA chooses to publish; may not reflect complete implementation picture</t>
  </si>
  <si>
    <t>2. FOI-Obtained Documents</t>
  </si>
  <si>
    <t>FOI 3643, FOI 4029-03, FOI 5082, FOI 5275, FOI 25-0166; systematic review of 500+ FOI releases (2020-2025)</t>
  </si>
  <si>
    <t>High - formal government records released under statutory process</t>
  </si>
  <si>
    <t>Subject to FOI exemptions; reliant on TGA record-keeping and search adequacy</t>
  </si>
  <si>
    <t>3. OAIC-Validated Searches</t>
  </si>
  <si>
    <t>TGA's comprehensive searches under OAIC statutory direction: 531+ TRIM containers (September 2024), 2,218+ pages reviewed and classified by Plan objectives, independent oversight body validation</t>
  </si>
  <si>
    <t>Highest - TGA's own assessment of what documentation exists under statutory obligation</t>
  </si>
  <si>
    <t>Cannot verify documents TGA claims don't exist; reliant on search methodology adequacy</t>
  </si>
  <si>
    <t>4. Senate Testimony Under Privilege</t>
  </si>
  <si>
    <t>Official statements by TGA senior officials under parliamentary privilege (9 October 2025), direct admissions regarding Plan implementation and tracking</t>
  </si>
  <si>
    <t>Highest - official testimony under oath in parliamentary proceedings</t>
  </si>
  <si>
    <t>Limited to what officials choose to disclose; subject to interpretation of questions</t>
  </si>
  <si>
    <t>5. Independent Verification</t>
  </si>
  <si>
    <t>OAIC Decision [2025] AICmr 54 (independent statutory oversight), Sparke Helmore legal analysis (independent law firm assessment), academic literature (Phillips et al 2021, Glover et al 2024)</t>
  </si>
  <si>
    <t>High - independent third-party validation of findings</t>
  </si>
  <si>
    <t>Limited scope of independent reviews; not all aspects independently verified</t>
  </si>
  <si>
    <t>Assurance Level Statement</t>
  </si>
  <si>
    <t>This audit provides reasonable assurance (not absolute certainty) based on systematic evidence collection within defined boundaries.</t>
  </si>
  <si>
    <t>This assurance level is consistent with:</t>
  </si>
  <si>
    <r>
      <t>ISO 19011:</t>
    </r>
    <r>
      <rPr>
        <sz val="12"/>
        <color theme="1"/>
        <rFont val="Calibri"/>
        <family val="2"/>
        <scheme val="minor"/>
      </rPr>
      <t xml:space="preserve"> Management systems auditing standards (conclusions from available evidence)</t>
    </r>
  </si>
  <si>
    <r>
      <t>ANAO:</t>
    </r>
    <r>
      <rPr>
        <sz val="12"/>
        <color theme="1"/>
        <rFont val="Calibri"/>
        <family val="2"/>
        <scheme val="minor"/>
      </rPr>
      <t xml:space="preserve"> Performance audit methodology for Commonwealth entities (reasonable assurance standard)</t>
    </r>
  </si>
  <si>
    <r>
      <t>OSINT:</t>
    </r>
    <r>
      <rPr>
        <sz val="12"/>
        <color theme="1"/>
        <rFont val="Calibri"/>
        <family val="2"/>
        <scheme val="minor"/>
      </rPr>
      <t xml:space="preserve"> Best practice for publicly verifiable information analysis (systematic collection and verification)</t>
    </r>
  </si>
  <si>
    <t>Critical Distinction:</t>
  </si>
  <si>
    <r>
      <t xml:space="preserve">The finding is </t>
    </r>
    <r>
      <rPr>
        <b/>
        <sz val="12"/>
        <color theme="1"/>
        <rFont val="Calibri"/>
        <family val="2"/>
        <scheme val="minor"/>
      </rPr>
      <t>absence of verifiable evidence</t>
    </r>
    <r>
      <rPr>
        <sz val="12"/>
        <color theme="1"/>
        <rFont val="Calibri"/>
        <family val="2"/>
        <scheme val="minor"/>
      </rPr>
      <t xml:space="preserve">, not </t>
    </r>
    <r>
      <rPr>
        <b/>
        <sz val="12"/>
        <color theme="1"/>
        <rFont val="Calibri"/>
        <family val="2"/>
        <scheme val="minor"/>
      </rPr>
      <t>evidence of absence</t>
    </r>
    <r>
      <rPr>
        <sz val="12"/>
        <color theme="1"/>
        <rFont val="Calibri"/>
        <family val="2"/>
        <scheme val="minor"/>
      </rPr>
      <t>. This audit cannot prove enhanced monitoring did not occur internally within TGA, but demonstrates it cannot be verified through accessible Commonwealth records—and that verification gap constitutes the accountability problem under Australia's public sector governance framework.</t>
    </r>
  </si>
  <si>
    <t>Burden of Proof</t>
  </si>
  <si>
    <t>Under Commonwealth accountability frameworks (PGPA Act 2013 s37, Archives Act 1983, FOI Act 1982), the burden rests with government entities to demonstrate performance through documentation, not with oversight bodies or citizens to prove documentation doesn't exist.</t>
  </si>
  <si>
    <t>TGA may address audit findings by:</t>
  </si>
  <si>
    <t>Producing documentation demonstrating systematic Plan implementation</t>
  </si>
  <si>
    <t>Explaining why Cabinet-endorsed policy was implemented without systematic tracking</t>
  </si>
  <si>
    <t>Implementing corrective actions to strengthen records management and accountability</t>
  </si>
  <si>
    <t>Complete burden of proof framework: ISO 19011 Audit - Burden of Proof Section</t>
  </si>
  <si>
    <r>
      <t>Last Updated:</t>
    </r>
    <r>
      <rPr>
        <sz val="12"/>
        <color theme="1"/>
        <rFont val="Calibri"/>
        <family val="2"/>
        <scheme val="minor"/>
      </rPr>
      <t xml:space="preserve"> 29 January 2026</t>
    </r>
  </si>
  <si>
    <r>
      <t>Audit Framework:</t>
    </r>
    <r>
      <rPr>
        <sz val="12"/>
        <color theme="1"/>
        <rFont val="Calibri"/>
        <family val="2"/>
        <scheme val="minor"/>
      </rPr>
      <t xml:space="preserve"> ISO 19011:2018, ANAO Performance Audit Methodology, OSINT Best Practice</t>
    </r>
  </si>
  <si>
    <r>
      <t>Complete Documentation:</t>
    </r>
    <r>
      <rPr>
        <sz val="12"/>
        <color theme="1"/>
        <rFont val="Calibri"/>
        <family val="2"/>
        <scheme val="minor"/>
      </rPr>
      <t xml:space="preserve"> https://github.com/paulrekaris/TGA-COVID19-Vaccine-Safety-Monitoring-Audit</t>
    </r>
  </si>
  <si>
    <t>METHODOLOGY</t>
  </si>
  <si>
    <t>Output Implementation Rating Criteria</t>
  </si>
  <si>
    <t>These definitions establish clear, consistent criteria for assessing each of the 20 Plan outputs across three rating categories.</t>
  </si>
  <si>
    <t>Rating Definitions</t>
  </si>
  <si>
    <t>Rating</t>
  </si>
  <si>
    <t>Symbol</t>
  </si>
  <si>
    <t>Definition</t>
  </si>
  <si>
    <t>Evidence Required</t>
  </si>
  <si>
    <t>Examples</t>
  </si>
  <si>
    <t>✓</t>
  </si>
  <si>
    <t>Plan output delivered as specified with complete, verifiable documentation and operational evidence</t>
  </si>
  <si>
    <t>(1) Published deliverables exist (forms, reports, communications), AND (2) No significant documentation gaps identified, AND (3) Output is publicly accessible/verifiable</t>
  </si>
  <si>
    <r>
      <t>Output 1.1:</t>
    </r>
    <r>
      <rPr>
        <sz val="12"/>
        <color theme="1"/>
        <rFont val="Calibri"/>
        <family val="2"/>
        <scheme val="minor"/>
      </rPr>
      <t xml:space="preserve"> Enhanced AEFI reporting information published on TGA website + 150+ safety reports published. </t>
    </r>
    <r>
      <rPr>
        <b/>
        <sz val="12"/>
        <color theme="1"/>
        <rFont val="Calibri"/>
        <family val="2"/>
        <scheme val="minor"/>
      </rPr>
      <t>Output 1.2:</t>
    </r>
    <r>
      <rPr>
        <sz val="12"/>
        <color theme="1"/>
        <rFont val="Calibri"/>
        <family val="2"/>
        <scheme val="minor"/>
      </rPr>
      <t xml:space="preserve"> Updated AEFI forms with COVID-19 fields publicly available. </t>
    </r>
    <r>
      <rPr>
        <b/>
        <sz val="12"/>
        <color theme="1"/>
        <rFont val="Calibri"/>
        <family val="2"/>
        <scheme val="minor"/>
      </rPr>
      <t>Output 3.1:</t>
    </r>
    <r>
      <rPr>
        <sz val="12"/>
        <color theme="1"/>
        <rFont val="Calibri"/>
        <family val="2"/>
        <scheme val="minor"/>
      </rPr>
      <t xml:space="preserve"> 150+ public safety reports + media releases demonstrating systematic public communication.</t>
    </r>
  </si>
  <si>
    <t>Partially Implemented</t>
  </si>
  <si>
    <t>◐</t>
  </si>
  <si>
    <t>Substantial activity occurred demonstrating operational delivery, but systematic protocols, integration frameworks, or governance documentation not evidenced</t>
  </si>
  <si>
    <t>(1) Clear evidence of activity/outputs (data collected, processes occurred), BUT (2) Enhanced protocols/frameworks not documented, OR (3) Integration between systems not evidenced, OR (4) Cannot distinguish "enhanced" from routine processes</t>
  </si>
  <si>
    <r>
      <t>Output 2.4:</t>
    </r>
    <r>
      <rPr>
        <sz val="12"/>
        <color theme="1"/>
        <rFont val="Calibri"/>
        <family val="2"/>
        <scheme val="minor"/>
      </rPr>
      <t xml:space="preserve"> AusVaxSafety operated effectively (6.8M surveys) but no TGA coordination protocols documented. </t>
    </r>
    <r>
      <rPr>
        <b/>
        <sz val="12"/>
        <color theme="1"/>
        <rFont val="Calibri"/>
        <family val="2"/>
        <scheme val="minor"/>
      </rPr>
      <t>Output 1.4:</t>
    </r>
    <r>
      <rPr>
        <sz val="12"/>
        <color theme="1"/>
        <rFont val="Calibri"/>
        <family val="2"/>
        <scheme val="minor"/>
      </rPr>
      <t xml:space="preserve"> 140K+ DAEN reports processed but no documentation of "enhanced" database preparation beyond routine capabilities. </t>
    </r>
    <r>
      <rPr>
        <b/>
        <sz val="12"/>
        <color theme="1"/>
        <rFont val="Calibri"/>
        <family val="2"/>
        <scheme val="minor"/>
      </rPr>
      <t>Output 4.1:</t>
    </r>
    <r>
      <rPr>
        <sz val="12"/>
        <color theme="1"/>
        <rFont val="Calibri"/>
        <family val="2"/>
        <scheme val="minor"/>
      </rPr>
      <t xml:space="preserve"> Multiple data sources accessed but no systematic integration methodology documented.</t>
    </r>
  </si>
  <si>
    <t>✗</t>
  </si>
  <si>
    <t>Zero documentation found despite comprehensive searches; TGA's own OAIC-directed searches located no evidence of implementation</t>
  </si>
  <si>
    <t>(1) TGA OAIC searches (531 containers) found no relevant documentation, AND (2) FOI processes produced no evidence, AND (3) No references in public reports/testimony</t>
  </si>
  <si>
    <r>
      <t>Output 2.2:</t>
    </r>
    <r>
      <rPr>
        <sz val="12"/>
        <color theme="1"/>
        <rFont val="Calibri"/>
        <family val="2"/>
        <scheme val="minor"/>
      </rPr>
      <t xml:space="preserve"> Zero COVID-specific investigation protocols found in 531-container search. </t>
    </r>
    <r>
      <rPr>
        <b/>
        <sz val="12"/>
        <color theme="1"/>
        <rFont val="Calibri"/>
        <family val="2"/>
        <scheme val="minor"/>
      </rPr>
      <t>Output GOV.1:</t>
    </r>
    <r>
      <rPr>
        <sz val="12"/>
        <color theme="1"/>
        <rFont val="Calibri"/>
        <family val="2"/>
        <scheme val="minor"/>
      </rPr>
      <t xml:space="preserve"> Zero oversight committee documentation; Senate testimony confirms "never systematically tracked". </t>
    </r>
    <r>
      <rPr>
        <b/>
        <sz val="12"/>
        <color theme="1"/>
        <rFont val="Calibri"/>
        <family val="2"/>
        <scheme val="minor"/>
      </rPr>
      <t>Output 2.3:</t>
    </r>
    <r>
      <rPr>
        <sz val="12"/>
        <color theme="1"/>
        <rFont val="Calibri"/>
        <family val="2"/>
        <scheme val="minor"/>
      </rPr>
      <t xml:space="preserve"> Zero enhanced cumulative review processes despite Strategy 2.3 presentation to ACV.</t>
    </r>
  </si>
  <si>
    <t>Critical Distinctions</t>
  </si>
  <si>
    <t>Distinction</t>
  </si>
  <si>
    <t>Explanation</t>
  </si>
  <si>
    <t>Why It Matters</t>
  </si>
  <si>
    <t>Activity vs Documentation</t>
  </si>
  <si>
    <t>"Partially Implemented" does NOT mean activity didn't occur—it means enhanced monitoring PROTOCOLS/FRAMEWORKS not documented as distinct from routine processes</t>
  </si>
  <si>
    <t>Distinguishes between operational delivery (which clearly happened: 140K reports, 6.8M surveys, 148 signals) and systematic implementation of Plan's enhanced framework (which cannot be verified through documentation)</t>
  </si>
  <si>
    <t>Deliverable vs Process</t>
  </si>
  <si>
    <t>Outputs producing public DELIVERABLES (forms, reports, communications) rated "Fully" if deliverables exist; outputs requiring systematic PROCESSES (protocols, integration, governance) require documentation of those processes</t>
  </si>
  <si>
    <r>
      <t>Output 1.1 (communication)</t>
    </r>
    <r>
      <rPr>
        <sz val="12"/>
        <color theme="1"/>
        <rFont val="Calibri"/>
        <family val="2"/>
        <scheme val="minor"/>
      </rPr>
      <t xml:space="preserve"> = deliverable (reports exist) = Fully. </t>
    </r>
    <r>
      <rPr>
        <b/>
        <sz val="12"/>
        <color theme="1"/>
        <rFont val="Calibri"/>
        <family val="2"/>
        <scheme val="minor"/>
      </rPr>
      <t>Output 2.2 (investigation protocols)</t>
    </r>
    <r>
      <rPr>
        <sz val="12"/>
        <color theme="1"/>
        <rFont val="Calibri"/>
        <family val="2"/>
        <scheme val="minor"/>
      </rPr>
      <t xml:space="preserve"> = process (protocols not documented) = Not Documented. Different output types require different evidence.</t>
    </r>
  </si>
  <si>
    <t>Routine vs Enhanced</t>
  </si>
  <si>
    <t>Plan committed to ENHANCED monitoring beyond business-as-usual; "Partially" assigned when cannot distinguish enhanced processes from routine pharmacovigilance</t>
  </si>
  <si>
    <r>
      <t>Output 1.4:</t>
    </r>
    <r>
      <rPr>
        <sz val="12"/>
        <color theme="1"/>
        <rFont val="Calibri"/>
        <family val="2"/>
        <scheme val="minor"/>
      </rPr>
      <t xml:space="preserve"> Data processing occurred (140K+ reports) but no evidence this was "enhanced" preparation vs routine DAEN capabilities. Activity documented but enhancement not evidenced.</t>
    </r>
  </si>
  <si>
    <t>Absence of Evidence vs Evidence of Absence</t>
  </si>
  <si>
    <t>"Not Documented" = cannot verify through accessible records. Does NOT claim activity didn't occur, only that it cannot be verified through Commonwealth accountability mechanisms</t>
  </si>
  <si>
    <t>Critical for governance/accountability focus: audit assesses what can be VERIFIED through documentation, not what might have occurred internally without documentation</t>
  </si>
  <si>
    <t>Rating Decision Logic</t>
  </si>
  <si>
    <t>Decision Tree for Each Output:</t>
  </si>
  <si>
    <t>START: Does Plan output exist as public deliverable (form, report, communication)?</t>
  </si>
  <si>
    <t xml:space="preserve">  ├─ YES → Are there documentation gaps preventing verification?</t>
  </si>
  <si>
    <t xml:space="preserve">  │    ├─ NO → Rating: ✓ FULLY IMPLEMENTED</t>
  </si>
  <si>
    <t xml:space="preserve">  │    └─ YES → Rating: ◐ PARTIALLY IMPLEMENTED</t>
  </si>
  <si>
    <t xml:space="preserve">  │</t>
  </si>
  <si>
    <t xml:space="preserve">  └─ NO → Does output require systematic process/protocol/framework?</t>
  </si>
  <si>
    <t xml:space="preserve">       ├─ YES → Is process/protocol/framework documented?</t>
  </si>
  <si>
    <t xml:space="preserve">       │    ├─ YES, comprehensively → Rating: ✓ FULLY IMPLEMENTED</t>
  </si>
  <si>
    <t xml:space="preserve">       │    ├─ YES, but gaps/unclear → Rating: ◐ PARTIALLY IMPLEMENTED  </t>
  </si>
  <si>
    <t xml:space="preserve">       │    └─ NO, zero documentation → Rating: ✗ NOT DOCUMENTED</t>
  </si>
  <si>
    <t xml:space="preserve">       │</t>
  </si>
  <si>
    <t xml:space="preserve">       └─ NO → Is there evidence of activity/outputs?</t>
  </si>
  <si>
    <t xml:space="preserve">            ├─ YES, substantial → Rating: ◐ PARTIALLY IMPLEMENTED</t>
  </si>
  <si>
    <t xml:space="preserve">            ├─ YES, minimal → Rating: ◐ PARTIALLY IMPLEMENTED</t>
  </si>
  <si>
    <t xml:space="preserve">            └─ NO evidence → Rating: ✗ NOT DOCUMENTED</t>
  </si>
  <si>
    <t>Evidence Sufficiency Standards</t>
  </si>
  <si>
    <t>What Constitutes "Documented" for Each Output Type:</t>
  </si>
  <si>
    <t>Output Type</t>
  </si>
  <si>
    <t>Evidence Required for "Fully Implemented"</t>
  </si>
  <si>
    <t>Evidence Sufficient for "Partially"</t>
  </si>
  <si>
    <t>Evidence Absence = "Not Documented"</t>
  </si>
  <si>
    <r>
      <t>Communication Outputs</t>
    </r>
    <r>
      <rPr>
        <sz val="12"/>
        <color theme="1"/>
        <rFont val="Calibri"/>
        <family val="2"/>
        <scheme val="minor"/>
      </rPr>
      <t xml:space="preserve"> (1.1, 3.1)</t>
    </r>
  </si>
  <si>
    <t>Published materials exist and are accessible (website content, reports, media releases)</t>
  </si>
  <si>
    <t>Materials exist but some gaps in systematic delivery or framework</t>
  </si>
  <si>
    <t>No public communications or materials found</t>
  </si>
  <si>
    <r>
      <t>Deliverable Outputs</t>
    </r>
    <r>
      <rPr>
        <sz val="12"/>
        <color theme="1"/>
        <rFont val="Calibri"/>
        <family val="2"/>
        <scheme val="minor"/>
      </rPr>
      <t xml:space="preserve"> (1.2 Forms)</t>
    </r>
  </si>
  <si>
    <t>Deliverable exists, publicly available, fit for purpose</t>
  </si>
  <si>
    <t>Deliverable exists but limitations/gaps identified</t>
  </si>
  <si>
    <t>Deliverable does not exist or not accessible</t>
  </si>
  <si>
    <r>
      <t>Process/Protocol Outputs</t>
    </r>
    <r>
      <rPr>
        <sz val="12"/>
        <color theme="1"/>
        <rFont val="Calibri"/>
        <family val="2"/>
        <scheme val="minor"/>
      </rPr>
      <t xml:space="preserve"> (2.2, 2.3, 2.5, 2.6)</t>
    </r>
  </si>
  <si>
    <t>Documented protocols/SOPs/frameworks exist showing systematic approach distinct from routine</t>
  </si>
  <si>
    <t>Activity evidence exists but protocols/frameworks not documented</t>
  </si>
  <si>
    <t>Zero protocols/frameworks found; comprehensive searches negative</t>
  </si>
  <si>
    <r>
      <t>Integration/Coordination Outputs</t>
    </r>
    <r>
      <rPr>
        <sz val="12"/>
        <color theme="1"/>
        <rFont val="Calibri"/>
        <family val="2"/>
        <scheme val="minor"/>
      </rPr>
      <t xml:space="preserve"> (2.4, 4.1, COLLAB.1, COLLAB.2)</t>
    </r>
  </si>
  <si>
    <t>Documented integration protocols, data-sharing agreements, coordination frameworks showing systematic approach</t>
  </si>
  <si>
    <t>Activity occurred (data shared, coordination evident) but formal frameworks not documented</t>
  </si>
  <si>
    <t>No evidence of coordination or integration mechanisms</t>
  </si>
  <si>
    <r>
      <t>Governance Outputs</t>
    </r>
    <r>
      <rPr>
        <sz val="12"/>
        <color theme="1"/>
        <rFont val="Calibri"/>
        <family val="2"/>
        <scheme val="minor"/>
      </rPr>
      <t xml:space="preserve"> (GOV.1, GOV.2)</t>
    </r>
  </si>
  <si>
    <t>Oversight committees documented, performance metrics tracked, progress reports exist</t>
  </si>
  <si>
    <t>Some governance elements exist but systematic tracking absent</t>
  </si>
  <si>
    <t>Zero governance documentation; admitted "never systematically tracked"</t>
  </si>
  <si>
    <t>Falsifiability Principle</t>
  </si>
  <si>
    <t>All ratings are falsifiable through document production:</t>
  </si>
  <si>
    <t>Rating Changes Possible:</t>
  </si>
  <si>
    <r>
      <t>Fully → Partially:</t>
    </r>
    <r>
      <rPr>
        <sz val="12"/>
        <color theme="1"/>
        <rFont val="Calibri"/>
        <family val="2"/>
        <scheme val="minor"/>
      </rPr>
      <t xml:space="preserve"> If significant documentation gaps subsequently identified</t>
    </r>
  </si>
  <si>
    <r>
      <t>Partially → Fully:</t>
    </r>
    <r>
      <rPr>
        <sz val="12"/>
        <color theme="1"/>
        <rFont val="Calibri"/>
        <family val="2"/>
        <scheme val="minor"/>
      </rPr>
      <t xml:space="preserve"> If TGA produces comprehensive framework documentation</t>
    </r>
  </si>
  <si>
    <r>
      <t>Not Documented → Partially/Fully:</t>
    </r>
    <r>
      <rPr>
        <sz val="12"/>
        <color theme="1"/>
        <rFont val="Calibri"/>
        <family val="2"/>
        <scheme val="minor"/>
      </rPr>
      <t xml:space="preserve"> If TGA produces previously undisclosed documentation through FOI, OAIC direction, or public release</t>
    </r>
  </si>
  <si>
    <t>TGA may address any rating by producing documentation demonstrating:</t>
  </si>
  <si>
    <t>Systematic implementation of the specific output</t>
  </si>
  <si>
    <t>Enhanced monitoring distinct from routine processes (where applicable)</t>
  </si>
  <si>
    <t>Governance/tracking mechanisms for the output (where applicable)</t>
  </si>
  <si>
    <t>Rating Application Examples</t>
  </si>
  <si>
    <t>Example 1: Fully Implemented (✓)</t>
  </si>
  <si>
    <t>Output 1.1 - Enhanced reporting of AEFI</t>
  </si>
  <si>
    <t>Evidence:</t>
  </si>
  <si>
    <t>Information on how to report AEFI published on TGA website</t>
  </si>
  <si>
    <t>Public communications campaign documented</t>
  </si>
  <si>
    <t>150+ weekly/fortnightly safety reports published March 2021-November 2023</t>
  </si>
  <si>
    <r>
      <t>Why Fully:</t>
    </r>
    <r>
      <rPr>
        <sz val="12"/>
        <color theme="1"/>
        <rFont val="Calibri"/>
        <family val="2"/>
        <scheme val="minor"/>
      </rPr>
      <t xml:space="preserve"> Output 1.1 is about public communication and reporting pathways (not internal processes). Website content exists, advertising documented, weekly reports published. This is COMMUNICATION OUTPUT fully delivered.</t>
    </r>
  </si>
  <si>
    <r>
      <t>Rating:</t>
    </r>
    <r>
      <rPr>
        <sz val="12"/>
        <color theme="1"/>
        <rFont val="Calibri"/>
        <family val="2"/>
        <scheme val="minor"/>
      </rPr>
      <t xml:space="preserve"> ✓ FULLY IMPLEMENTED</t>
    </r>
  </si>
  <si>
    <t>Example 2: Partially Implemented (◐)</t>
  </si>
  <si>
    <t>Output 2.4 - Active surveillance (AusVaxSafety)</t>
  </si>
  <si>
    <t>AusVaxSafety infrastructure operated effectively: 6,887,520 surveys completed</t>
  </si>
  <si>
    <t>62,000+ medical visits documented</t>
  </si>
  <si>
    <t>Data appears in TGA weekly reports</t>
  </si>
  <si>
    <t>Documentation Gaps:</t>
  </si>
  <si>
    <t>No documented coordination protocols between TGA and AusVaxSafety</t>
  </si>
  <si>
    <t>No integration methodology found</t>
  </si>
  <si>
    <t>OAIC searches did not use 'AusVaxSafety' as search term</t>
  </si>
  <si>
    <t>No documented bridge between 6.8M surveys and 148 TGA signals</t>
  </si>
  <si>
    <r>
      <t>Why Partially:</t>
    </r>
    <r>
      <rPr>
        <sz val="12"/>
        <color theme="1"/>
        <rFont val="Calibri"/>
        <family val="2"/>
        <scheme val="minor"/>
      </rPr>
      <t xml:space="preserve"> Massive active surveillance activity (6.8M surveys) demonstrating AusVaxSafety delivery. BUT Plan committed TGA to 'collaborate with AusVaxSafety' - collaboration PROTOCOLS not documented. No audit trail from surveys to TGA signals. Systems parallel not integrated.</t>
    </r>
  </si>
  <si>
    <r>
      <t>Rating:</t>
    </r>
    <r>
      <rPr>
        <sz val="12"/>
        <color theme="1"/>
        <rFont val="Calibri"/>
        <family val="2"/>
        <scheme val="minor"/>
      </rPr>
      <t xml:space="preserve"> ◐ PARTIALLY IMPLEMENTED</t>
    </r>
  </si>
  <si>
    <t>Example 3: Not Documented (✗)</t>
  </si>
  <si>
    <t>Output GOV.1 - Implementation oversight</t>
  </si>
  <si>
    <t>Evidence Searched:</t>
  </si>
  <si>
    <t>FOI 3643, FOI 25-0166</t>
  </si>
  <si>
    <t>OAIC MR22/00538 searches (531 containers)</t>
  </si>
  <si>
    <t>Senate testimony Oct 2025</t>
  </si>
  <si>
    <t>Findings:</t>
  </si>
  <si>
    <t>Senate testimony: TGA admits monitoring 'never systematically tracked' against Plan</t>
  </si>
  <si>
    <t>OAIC searches: zero governance documentation found</t>
  </si>
  <si>
    <t>No oversight committees documented</t>
  </si>
  <si>
    <t>No progress reports identified</t>
  </si>
  <si>
    <t>No performance metrics tracking against Plan outputs</t>
  </si>
  <si>
    <r>
      <t>Why Not Documented:</t>
    </r>
    <r>
      <rPr>
        <sz val="12"/>
        <color theme="1"/>
        <rFont val="Calibri"/>
        <family val="2"/>
        <scheme val="minor"/>
      </rPr>
      <t xml:space="preserve"> Plan required governance/oversight mechanisms for 20 outputs. After searching 531 containers: ZERO governance documentation. Senate testimony direct admission: 'never systematically tracked'. This is TOTAL ABSENCE of Plan governance.</t>
    </r>
  </si>
  <si>
    <r>
      <t>Rating:</t>
    </r>
    <r>
      <rPr>
        <sz val="12"/>
        <color theme="1"/>
        <rFont val="Calibri"/>
        <family val="2"/>
        <scheme val="minor"/>
      </rPr>
      <t xml:space="preserve"> ✗ NOT DOCUMENTED</t>
    </r>
  </si>
  <si>
    <r>
      <t>Methodology:</t>
    </r>
    <r>
      <rPr>
        <sz val="12"/>
        <color theme="1"/>
        <rFont val="Calibri"/>
        <family val="2"/>
        <scheme val="minor"/>
      </rPr>
      <t xml:space="preserve"> ISO 19011:2018 (evidence-based approach), ANAO Better Practice (performance assessment), Commonwealth accountability frameworks (PGPA Act s37, Archives Act 1983)</t>
    </r>
  </si>
  <si>
    <r>
      <t>Complete Audit Documentation:</t>
    </r>
    <r>
      <rPr>
        <sz val="12"/>
        <color theme="1"/>
        <rFont val="Calibri"/>
        <family val="2"/>
        <scheme val="minor"/>
      </rPr>
      <t xml:space="preserve"> https://github.com/paulrekaris/TGA-COVID19-Vaccine-Safety-Monitoring-Audit</t>
    </r>
  </si>
  <si>
    <t xml:space="preserve">RATING CRITERIA </t>
  </si>
  <si>
    <t>FOI 3643, FOI 4029-03, FOI 4029-05, OAIC MR22/00538 searches, ACV meeting statements</t>
  </si>
  <si>
    <t>FOI 4029-03 (ACV received Strategy 2.3 Sep 2021); FOI 4029-05 (VSIG operational, child deaths not referred); ACV Meeting Statements (published); Senate testimony (TGA "burn out" claim); OAIC MR22/00538 ('unable to meaningfully interpret' Objective 5 for advisory searches)</t>
  </si>
  <si>
    <t>Advisory Committee on Vaccines (ACV) existed and met regularly; FOI 4029-03 shows ACV received Strategy 2.3 presentation (Sep 2021); ACV meeting statements published; FOI 4029-05 shows Vaccine Safety Investigation Group (VSIG) operational during child death cases</t>
  </si>
  <si>
    <t>No documentation of standing COVID-19-specific advisory committee; no evidence of paediatric advisory group convening; VSIG operational (FOI 4029-05) but child deaths not referred for expert review despite mechanism existing; TGA "burn out" testimony contradicted by FOI evidence showing VSIG operational; OAIC searches noted Objective 5 'unable to meaningfully interpret' for advisory committee searches</t>
  </si>
  <si>
    <t>Output Number</t>
  </si>
  <si>
    <t>Plan Objective</t>
  </si>
  <si>
    <t>Evidence Sources Checked</t>
  </si>
  <si>
    <t>What Was Found</t>
  </si>
  <si>
    <t>Rating Justification</t>
  </si>
  <si>
    <t>Severity</t>
  </si>
  <si>
    <t>Timely collection and management of AEFI (Objective 1)</t>
  </si>
  <si>
    <t>✓ Fully Implemented</t>
  </si>
  <si>
    <t>Output 1.1 is about public communication and reporting pathways (not internal processes). Website content exists, advertising documented, weekly reports published. This is COMMUNICATION OUTPUT fully delivered.</t>
  </si>
  <si>
    <t>⭐⭐⭐⭐⭐</t>
  </si>
  <si>
    <t>Forms were updated with COVID-19 fields and made publicly available. This is DELIVERABLE OUTPUT (forms exist). Internal processes for how forms processed is separate question (Output 1.4/1.5).</t>
  </si>
  <si>
    <t>◐ Partially/Undocumented</t>
  </si>
  <si>
    <t>Activity clearly occurred (state data appears in reports) but SYSTEMATIC PROTOCOLS for sharing not documented. Plan committed to 'criteria and processes' - these not evidenced. Rating: Partial because sharing happened but formal framework not documented.</t>
  </si>
  <si>
    <t>⭐⭐⭐</t>
  </si>
  <si>
    <t>Massive data processing activity documented (140K+ reports) but no evidence this involved 'enhanced' preparation beyond routine DAEN capabilities. Plan promised enhanced data CAPABILITIES (not just processing volume). Systems may have been enhanced but not documented as such.</t>
  </si>
  <si>
    <t>Clinical reviews happened (evidenced by 148 signal investigations) but DOCUMENTED COVID-SPECIFIC escalation criteria not found. Plan committed to enhanced escalation protocols - these protocols not evidenced. Activity occurred but systematic framework not documented.</t>
  </si>
  <si>
    <t>Proactive signal identification and assessment (Objective 2)</t>
  </si>
  <si>
    <t>AESI list existed (good) but Plan committed to 'understanding safety profiles' including expected/background rates. These rates calculations not documented in accessible form. FOI 4029-03 proves capacity but outputs not published.</t>
  </si>
  <si>
    <t>⭐⭐⭐⭐</t>
  </si>
  <si>
    <t>✗ Not Documented</t>
  </si>
  <si>
    <t>Plan explicitly committed to 'specific protocols for investigating AEFI reports'. After searching 531 TRIM containers, zero COVID-specific protocols found. Senate testimony confirms routine processes used. Activity happened (148 investigations) but SPECIFIC PROTOCOLS not documented.</t>
  </si>
  <si>
    <t>FOI 4029-03 proves TGA HAD Strategy 2.3 capability (presented to ACV Sep 2021) but zero outputs in concurrent public reports. FOI 5275 (Aug 2024) confirms TGA 'does not hold incidence data' 3.5 years post-approval. Contradiction: capacity shown to ACV but not documented publicly.</t>
  </si>
  <si>
    <t>FOI 3643, FOI 25-0166, OAIC MR22/00538 searches, AusVaxSafety public reports, TGA weekly reports</t>
  </si>
  <si>
    <t>Massive active surveillance activity (6.8M surveys) demonstrating AusVaxSafety delivery. BUT Plan committed TGA to 'collaborate with AusVaxSafety' - collaboration PROTOCOLS not documented. No audit trail from surveys to TGA signals. Systems parallel not integrated (documented).</t>
  </si>
  <si>
    <t>AusVaxSafety 2023 Annual Report (6.8M surveys); Surveillance Analysis (no integration documented); OAIC MR22/00538 (did not search 'AusVaxSafety'); Phillips et al 2021 ('parallel systems')</t>
  </si>
  <si>
    <t>Plan committed to enhanced processes for analysing sponsor clinical studies/reports. Zero evidence of these processes after comprehensive OAIC searches (531 containers). FOI 5275 independent corroboration of documentation gaps.</t>
  </si>
  <si>
    <t>Plan committed to 'environmental scanning' of scientific literature and regulatory decisions. After searching 531 containers, zero systematic processes documented. Ad hoc scanning may have occurred but SYSTEMATIC PROCESSES not evidenced.</t>
  </si>
  <si>
    <t>International engagement occurred (ICMRA co-chair documented) but SYSTEMATIC PROCESSES for information sharing not documented. Plan committed to processes - these not evidenced. Activity happened but framework not documented.</t>
  </si>
  <si>
    <t>Expert committees existed and functioned (ACV meetings documented, FOI 4029-03 shows engagement, VSIG operational per FOI 4029-05). BUT Plan committed to COVID-specific advisory arrangements including paediatric expertise - these not documented as distinct from routine ACV processes. Critical gap: FOI 4029-05 shows VSIG operational when child deaths occurred but deaths not referred for expert review; contradicts TGA Senate testimony claiming "burn out" prevented expert review when mechanism was actually operational. Demonstrates available expert processes not systematically utilized.</t>
  </si>
  <si>
    <t>FOI 4029-03 (ACV received Strategy 2.3 Sep 2021); ACV Meeting Statements (published); OAIC MR22/00538 ('unable to meaningfully interpret' Objective 5 for advisory searches)FOI 4029-03 (ACV received Strategy 2.3 Sep 2021); FOI 4029-05 (VSIG operational, child deaths not referred); ACV Meeting Statements (published); Senate testimony (TGA "burn out" claim); OAIC MR22/00538 ('unable to meaningfully interpret' Objective 5 for advisory searches)</t>
  </si>
  <si>
    <t>Clear communication (Objective 3)</t>
  </si>
  <si>
    <t>Output 3.1 is about COMMUNICATION to public. 150+ reports published, media engagement documented, website content exists. This is COMMUNICATION OUTPUT fully delivered (distinct from whether communications referenced Plan framework - that's separate transparency question).</t>
  </si>
  <si>
    <t>Integration of data from multiple sources (Objective 4)</t>
  </si>
  <si>
    <t>Data was clearly ACCESSED from multiple sources (appears in reports) but SYSTEMATIC INTEGRATION FRAMEWORK not documented. Plan committed to integration of data sources - integration METHODOLOGY not evidenced. Parallel systems not unified (documented gap).</t>
  </si>
  <si>
    <t>Contribution to evidence base through research (Objective 5)</t>
  </si>
  <si>
    <t>Some research activity may have occurred but no PLAN-LINKED research programme documented. OAIC specifically noted Objective 5 'unable to meaningfully interpret into searchable item' - suggests lack of systematic research framework tied to Plan.</t>
  </si>
  <si>
    <t>⭐⭐</t>
  </si>
  <si>
    <t>Cross-cutting: Collaborations</t>
  </si>
  <si>
    <t>Collaboration clearly happened (state data in reports, coordination evidenced). BUT Plan implied systematic national coordination frameworks - these FORMAL FRAMEWORKS not documented. Activity occurred through routine channels not distinct Plan-level governance.</t>
  </si>
  <si>
    <t>International engagement occurred (ICMRA documented) but SYSTEMATIC PROCESSES for information sharing not documented beyond participation in working group. Collaboration happened but formal FRAMEWORKS not evidenced.</t>
  </si>
  <si>
    <t>Cross-cutting: Governance and performance measurement</t>
  </si>
  <si>
    <t>Plan required governance/oversight mechanisms for 20 outputs. After searching 531 containers: ZERO governance documentation. Senate testimony direct admission: 'never systematically tracked'. This is TOTAL ABSENCE of Plan governance.</t>
  </si>
  <si>
    <t>Commonwealth PGPA Act s37 requires agencies explain performance. Plan specified 20 outputs requiring tracking. TOTAL ABSENCE of performance measurement: zero tracking, zero metrics, zero assessment across 33 months. Programme ceased (Nov 2023) without evaluation.</t>
  </si>
  <si>
    <t xml:space="preserve">Data Input by Plan Objective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</si>
</sst>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4" x14ac:knownFonts="1">
    <font>
      <sz val="12"/>
      <color theme="1"/>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b/>
      <sz val="12"/>
      <color theme="1"/>
      <name val="Calibri"/>
      <family val="2"/>
      <scheme val="minor"/>
    </font>
    <font>
      <b/>
      <sz val="12"/>
      <color rgb="FFFFFFFF"/>
      <name val="Calibri"/>
      <family val="2"/>
      <scheme val="minor"/>
    </font>
    <font>
      <b/>
      <sz val="16"/>
      <color rgb="FF1F4E79"/>
      <name val="Calibri"/>
      <family val="2"/>
      <scheme val="minor"/>
    </font>
    <font>
      <b/>
      <sz val="12"/>
      <color rgb="FF006100"/>
      <name val="Calibri"/>
      <family val="2"/>
      <scheme val="minor"/>
    </font>
    <font>
      <b/>
      <sz val="12"/>
      <color rgb="FF9C5700"/>
      <name val="Calibri"/>
      <family val="2"/>
      <scheme val="minor"/>
    </font>
    <font>
      <b/>
      <sz val="12"/>
      <color rgb="FF9C0006"/>
      <name val="Calibri"/>
      <family val="2"/>
      <scheme val="minor"/>
    </font>
    <font>
      <b/>
      <sz val="14"/>
      <color rgb="FFFFFFFF"/>
      <name val="Calibri"/>
      <family val="2"/>
      <scheme val="minor"/>
    </font>
    <font>
      <sz val="14"/>
      <color theme="1"/>
      <name val="Calibri"/>
      <family val="2"/>
      <scheme val="minor"/>
    </font>
    <font>
      <sz val="24"/>
      <color rgb="FF141413"/>
      <name val="Calibri"/>
      <family val="1"/>
      <scheme val="minor"/>
    </font>
    <font>
      <b/>
      <sz val="24"/>
      <color theme="1"/>
      <name val="Calibri"/>
      <family val="2"/>
      <scheme val="minor"/>
    </font>
    <font>
      <b/>
      <sz val="18"/>
      <color theme="1"/>
      <name val="Calibri"/>
      <family val="2"/>
      <scheme val="minor"/>
    </font>
    <font>
      <b/>
      <sz val="13.5"/>
      <color theme="1"/>
      <name val="Calibri"/>
      <family val="2"/>
      <scheme val="minor"/>
    </font>
    <font>
      <u/>
      <sz val="12"/>
      <color theme="10"/>
      <name val="Calibri"/>
      <family val="2"/>
      <scheme val="minor"/>
    </font>
    <font>
      <sz val="12"/>
      <color theme="1"/>
      <name val="Arial Unicode MS"/>
      <family val="2"/>
    </font>
    <font>
      <sz val="10"/>
      <color indexed="8"/>
      <name val="Helvetica Neue"/>
      <family val="2"/>
    </font>
    <font>
      <sz val="14"/>
      <color indexed="8"/>
      <name val="Helvetica Neue"/>
      <family val="2"/>
    </font>
    <font>
      <b/>
      <sz val="12"/>
      <color indexed="8"/>
      <name val="Helvetica Neue"/>
      <family val="2"/>
    </font>
    <font>
      <sz val="12"/>
      <color indexed="8"/>
      <name val="Helvetica Neue"/>
      <family val="2"/>
    </font>
    <font>
      <b/>
      <sz val="14"/>
      <color theme="0"/>
      <name val="Helvetica Neue"/>
      <family val="2"/>
    </font>
    <font>
      <b/>
      <sz val="18"/>
      <color theme="1"/>
      <name val="Helvetica Neue"/>
      <family val="2"/>
    </font>
  </fonts>
  <fills count="9">
    <fill>
      <patternFill patternType="none"/>
    </fill>
    <fill>
      <patternFill patternType="gray125"/>
    </fill>
    <fill>
      <patternFill patternType="solid">
        <fgColor rgb="FF1F4E79"/>
        <bgColor indexed="64"/>
      </patternFill>
    </fill>
    <fill>
      <patternFill patternType="solid">
        <fgColor rgb="FFC6EFCE"/>
        <bgColor indexed="64"/>
      </patternFill>
    </fill>
    <fill>
      <patternFill patternType="solid">
        <fgColor rgb="FFFFEB9C"/>
        <bgColor indexed="64"/>
      </patternFill>
    </fill>
    <fill>
      <patternFill patternType="solid">
        <fgColor rgb="FFFFC7CE"/>
        <bgColor indexed="64"/>
      </patternFill>
    </fill>
    <fill>
      <patternFill patternType="solid">
        <fgColor rgb="FFD9E2F3"/>
        <bgColor indexed="64"/>
      </patternFill>
    </fill>
    <fill>
      <patternFill patternType="solid">
        <fgColor theme="1"/>
        <bgColor indexed="64"/>
      </patternFill>
    </fill>
    <fill>
      <patternFill patternType="solid">
        <fgColor theme="0"/>
        <bgColor indexed="64"/>
      </patternFill>
    </fill>
  </fills>
  <borders count="2">
    <border>
      <left/>
      <right/>
      <top/>
      <bottom/>
      <diagonal/>
    </border>
    <border>
      <left style="thin">
        <color theme="2" tint="-0.499984740745262"/>
      </left>
      <right style="thin">
        <color theme="2" tint="-0.499984740745262"/>
      </right>
      <top style="thin">
        <color theme="2" tint="-0.499984740745262"/>
      </top>
      <bottom style="thin">
        <color theme="2" tint="-0.499984740745262"/>
      </bottom>
      <diagonal/>
    </border>
  </borders>
  <cellStyleXfs count="3">
    <xf numFmtId="0" fontId="0" fillId="0" borderId="0"/>
    <xf numFmtId="0" fontId="16" fillId="0" borderId="0" applyNumberFormat="0" applyFill="0" applyBorder="0" applyAlignment="0" applyProtection="0"/>
    <xf numFmtId="0" fontId="18" fillId="0" borderId="0" applyNumberFormat="0" applyFill="0" applyBorder="0" applyProtection="0">
      <alignment vertical="top" wrapText="1"/>
    </xf>
  </cellStyleXfs>
  <cellXfs count="56">
    <xf numFmtId="0" fontId="0" fillId="0" borderId="0" xfId="0"/>
    <xf numFmtId="0" fontId="5" fillId="2" borderId="0" xfId="0" applyFont="1" applyFill="1"/>
    <xf numFmtId="0" fontId="5" fillId="2" borderId="0" xfId="0" applyFont="1" applyFill="1" applyAlignment="1">
      <alignment horizontal="center"/>
    </xf>
    <xf numFmtId="0" fontId="1" fillId="3" borderId="0" xfId="0" applyFont="1" applyFill="1"/>
    <xf numFmtId="0" fontId="0" fillId="0" borderId="0" xfId="0" applyAlignment="1">
      <alignment horizontal="center"/>
    </xf>
    <xf numFmtId="0" fontId="3" fillId="4" borderId="0" xfId="0" applyFont="1" applyFill="1"/>
    <xf numFmtId="0" fontId="2" fillId="5" borderId="0" xfId="0" applyFont="1" applyFill="1"/>
    <xf numFmtId="0" fontId="6" fillId="0" borderId="0" xfId="0" applyFont="1"/>
    <xf numFmtId="9" fontId="0" fillId="0" borderId="0" xfId="0" applyNumberFormat="1" applyAlignment="1">
      <alignment horizontal="center"/>
    </xf>
    <xf numFmtId="0" fontId="4" fillId="0" borderId="0" xfId="0" applyFont="1"/>
    <xf numFmtId="0" fontId="4" fillId="0" borderId="0" xfId="0" applyFont="1" applyAlignment="1">
      <alignment horizontal="center"/>
    </xf>
    <xf numFmtId="9" fontId="4" fillId="0" borderId="0" xfId="0" applyNumberFormat="1" applyFont="1" applyAlignment="1">
      <alignment horizontal="center"/>
    </xf>
    <xf numFmtId="0" fontId="7" fillId="3" borderId="0" xfId="0" applyFont="1" applyFill="1" applyAlignment="1">
      <alignment horizontal="center"/>
    </xf>
    <xf numFmtId="0" fontId="8" fillId="4" borderId="0" xfId="0" applyFont="1" applyFill="1" applyAlignment="1">
      <alignment horizontal="center"/>
    </xf>
    <xf numFmtId="0" fontId="9" fillId="5" borderId="0" xfId="0" applyFont="1" applyFill="1" applyAlignment="1">
      <alignment horizontal="center"/>
    </xf>
    <xf numFmtId="0" fontId="4" fillId="6" borderId="0" xfId="0" applyFont="1" applyFill="1"/>
    <xf numFmtId="0" fontId="4" fillId="6" borderId="0" xfId="0" applyFont="1" applyFill="1" applyAlignment="1">
      <alignment horizontal="center"/>
    </xf>
    <xf numFmtId="164" fontId="0" fillId="0" borderId="0" xfId="0" applyNumberFormat="1" applyAlignment="1">
      <alignment horizontal="center"/>
    </xf>
    <xf numFmtId="164" fontId="4" fillId="6" borderId="0" xfId="0" applyNumberFormat="1" applyFont="1" applyFill="1" applyAlignment="1">
      <alignment horizontal="center"/>
    </xf>
    <xf numFmtId="0" fontId="0" fillId="0" borderId="0" xfId="0" applyAlignment="1">
      <alignment vertical="top" wrapText="1"/>
    </xf>
    <xf numFmtId="0" fontId="0" fillId="0" borderId="0" xfId="0" applyAlignment="1">
      <alignment horizontal="left" vertical="top" wrapText="1"/>
    </xf>
    <xf numFmtId="0" fontId="10" fillId="2" borderId="0" xfId="0" applyFont="1" applyFill="1" applyAlignment="1">
      <alignment vertical="top" wrapText="1"/>
    </xf>
    <xf numFmtId="0" fontId="11" fillId="0" borderId="0" xfId="0" applyFont="1" applyAlignment="1">
      <alignment vertical="top" wrapText="1"/>
    </xf>
    <xf numFmtId="0" fontId="0" fillId="0" borderId="0" xfId="0" applyAlignment="1">
      <alignment horizontal="right" vertical="top" wrapText="1"/>
    </xf>
    <xf numFmtId="0" fontId="1" fillId="3" borderId="0" xfId="0" applyFont="1" applyFill="1" applyAlignment="1">
      <alignment vertical="top" wrapText="1"/>
    </xf>
    <xf numFmtId="0" fontId="0" fillId="0" borderId="0" xfId="0" applyAlignment="1">
      <alignment horizontal="center" vertical="top" wrapText="1"/>
    </xf>
    <xf numFmtId="0" fontId="3" fillId="4" borderId="0" xfId="0" applyFont="1" applyFill="1" applyAlignment="1">
      <alignment vertical="top" wrapText="1"/>
    </xf>
    <xf numFmtId="0" fontId="2" fillId="5" borderId="0" xfId="0" applyFont="1" applyFill="1" applyAlignment="1">
      <alignment vertical="top" wrapText="1"/>
    </xf>
    <xf numFmtId="0" fontId="12" fillId="0" borderId="0" xfId="0" applyFont="1" applyAlignment="1">
      <alignment horizontal="left" vertical="top" wrapText="1"/>
    </xf>
    <xf numFmtId="0" fontId="13" fillId="0" borderId="0" xfId="0" applyFont="1" applyAlignment="1">
      <alignment vertical="top" wrapText="1"/>
    </xf>
    <xf numFmtId="0" fontId="0" fillId="0" borderId="0" xfId="0" applyAlignment="1">
      <alignment vertical="top"/>
    </xf>
    <xf numFmtId="0" fontId="14" fillId="0" borderId="0" xfId="0" applyFont="1" applyAlignment="1">
      <alignment vertical="top" wrapText="1"/>
    </xf>
    <xf numFmtId="0" fontId="16" fillId="0" borderId="0" xfId="1" applyAlignment="1">
      <alignment vertical="top" wrapText="1"/>
    </xf>
    <xf numFmtId="0" fontId="4" fillId="0" borderId="0" xfId="0" applyFont="1" applyAlignment="1">
      <alignment vertical="top" wrapText="1"/>
    </xf>
    <xf numFmtId="0" fontId="15" fillId="0" borderId="0" xfId="0" applyFont="1" applyAlignment="1">
      <alignment vertical="top" wrapText="1"/>
    </xf>
    <xf numFmtId="0" fontId="0" fillId="0" borderId="0" xfId="0" applyFont="1" applyAlignment="1">
      <alignment vertical="top" wrapText="1"/>
    </xf>
    <xf numFmtId="0" fontId="4" fillId="0" borderId="0" xfId="0" applyFont="1" applyAlignment="1">
      <alignment horizontal="center" vertical="top" wrapText="1"/>
    </xf>
    <xf numFmtId="0" fontId="4" fillId="0" borderId="0" xfId="0" applyFont="1" applyAlignment="1">
      <alignment horizontal="left" vertical="top" wrapText="1"/>
    </xf>
    <xf numFmtId="0" fontId="0" fillId="0" borderId="0" xfId="0" applyAlignment="1">
      <alignment horizontal="center" vertical="top"/>
    </xf>
    <xf numFmtId="0" fontId="11" fillId="0" borderId="0" xfId="0" applyFont="1" applyAlignment="1">
      <alignment vertical="top"/>
    </xf>
    <xf numFmtId="0" fontId="17" fillId="0" borderId="0" xfId="0" applyFont="1" applyAlignment="1">
      <alignment vertical="top"/>
    </xf>
    <xf numFmtId="0" fontId="0" fillId="0" borderId="0" xfId="0" applyFont="1" applyAlignment="1">
      <alignment horizontal="center" vertical="top"/>
    </xf>
    <xf numFmtId="0" fontId="4" fillId="0" borderId="0" xfId="0" applyFont="1" applyAlignment="1">
      <alignment vertical="top"/>
    </xf>
    <xf numFmtId="0" fontId="14" fillId="0" borderId="0" xfId="0" applyFont="1" applyAlignment="1">
      <alignment vertical="top"/>
    </xf>
    <xf numFmtId="0" fontId="15" fillId="0" borderId="0" xfId="0" applyFont="1" applyAlignment="1">
      <alignment vertical="top"/>
    </xf>
    <xf numFmtId="0" fontId="18" fillId="0" borderId="0" xfId="2" applyNumberFormat="1" applyAlignment="1">
      <alignment vertical="top"/>
    </xf>
    <xf numFmtId="0" fontId="19" fillId="0" borderId="0" xfId="2" applyNumberFormat="1" applyFont="1" applyAlignment="1">
      <alignment vertical="top"/>
    </xf>
    <xf numFmtId="0" fontId="21" fillId="0" borderId="0" xfId="2" applyNumberFormat="1" applyFont="1" applyAlignment="1">
      <alignment vertical="top"/>
    </xf>
    <xf numFmtId="0" fontId="18" fillId="0" borderId="0" xfId="2" applyNumberFormat="1">
      <alignment vertical="top" wrapText="1"/>
    </xf>
    <xf numFmtId="49" fontId="22" fillId="7" borderId="1" xfId="2" applyNumberFormat="1" applyFont="1" applyFill="1" applyBorder="1">
      <alignment vertical="top" wrapText="1"/>
    </xf>
    <xf numFmtId="49" fontId="22" fillId="7" borderId="1" xfId="2" applyNumberFormat="1" applyFont="1" applyFill="1" applyBorder="1" applyAlignment="1">
      <alignment vertical="top"/>
    </xf>
    <xf numFmtId="49" fontId="21" fillId="0" borderId="1" xfId="2" applyNumberFormat="1" applyFont="1" applyBorder="1">
      <alignment vertical="top" wrapText="1"/>
    </xf>
    <xf numFmtId="49" fontId="21" fillId="0" borderId="1" xfId="2" applyNumberFormat="1" applyFont="1" applyBorder="1" applyAlignment="1">
      <alignment vertical="top"/>
    </xf>
    <xf numFmtId="0" fontId="20" fillId="8" borderId="1" xfId="2" applyNumberFormat="1" applyFont="1" applyFill="1" applyBorder="1" applyAlignment="1">
      <alignment horizontal="left" vertical="top"/>
    </xf>
    <xf numFmtId="49" fontId="20" fillId="8" borderId="1" xfId="2" applyNumberFormat="1" applyFont="1" applyFill="1" applyBorder="1" applyAlignment="1">
      <alignment horizontal="left"/>
    </xf>
    <xf numFmtId="0" fontId="23" fillId="0" borderId="0" xfId="2" applyFont="1" applyAlignment="1">
      <alignment horizontal="left" vertical="top"/>
    </xf>
  </cellXfs>
  <cellStyles count="3">
    <cellStyle name="Hyperlink" xfId="1" builtinId="8"/>
    <cellStyle name="Normal" xfId="0" builtinId="0"/>
    <cellStyle name="Normal 2" xfId="2" xr:uid="{308AD68B-7CF1-4543-82CC-05C152874E6D}"/>
  </cellStyles>
  <dxfs count="0"/>
  <tableStyles count="0" defaultTableStyle="TableStyleMedium2" defaultPivotStyle="PivotStyleLight16"/>
  <colors>
    <mruColors>
      <color rgb="FF0563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Implementation Status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Summary!$B$3</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5B7-1744-8238-4E58CF20957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5B7-1744-8238-4E58CF20957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5B7-1744-8238-4E58CF209574}"/>
              </c:ext>
            </c:extLst>
          </c:dPt>
          <c:cat>
            <c:strRef>
              <c:f>Summary!$A$4:$A$6</c:f>
              <c:strCache>
                <c:ptCount val="3"/>
                <c:pt idx="0">
                  <c:v>Fully Implemented</c:v>
                </c:pt>
                <c:pt idx="1">
                  <c:v>Partially Documented</c:v>
                </c:pt>
                <c:pt idx="2">
                  <c:v>Not Documented</c:v>
                </c:pt>
              </c:strCache>
            </c:strRef>
          </c:cat>
          <c:val>
            <c:numRef>
              <c:f>Summary!$B$4:$B$6</c:f>
              <c:numCache>
                <c:formatCode>General</c:formatCode>
                <c:ptCount val="3"/>
                <c:pt idx="0">
                  <c:v>3</c:v>
                </c:pt>
                <c:pt idx="1">
                  <c:v>11</c:v>
                </c:pt>
                <c:pt idx="2">
                  <c:v>6</c:v>
                </c:pt>
              </c:numCache>
            </c:numRef>
          </c:val>
          <c:extLst>
            <c:ext xmlns:c16="http://schemas.microsoft.com/office/drawing/2014/chart" uri="{C3380CC4-5D6E-409C-BE32-E72D297353CC}">
              <c16:uniqueId val="{00000000-54B7-1542-A16C-062F9D0572C8}"/>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Status by Objective Area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Summary!$B$9</c:f>
              <c:strCache>
                <c:ptCount val="1"/>
                <c:pt idx="0">
                  <c:v>Fully Implemented</c:v>
                </c:pt>
              </c:strCache>
            </c:strRef>
          </c:tx>
          <c:spPr>
            <a:solidFill>
              <a:schemeClr val="accent1"/>
            </a:solidFill>
            <a:ln>
              <a:noFill/>
            </a:ln>
            <a:effectLst/>
          </c:spPr>
          <c:invertIfNegative val="0"/>
          <c:cat>
            <c:strRef>
              <c:f>Summary!$A$10:$A$16</c:f>
              <c:strCache>
                <c:ptCount val="7"/>
                <c:pt idx="0">
                  <c:v>AEFI Management</c:v>
                </c:pt>
                <c:pt idx="1">
                  <c:v>Signal ID &amp; Assessment</c:v>
                </c:pt>
                <c:pt idx="2">
                  <c:v>Clear Communication</c:v>
                </c:pt>
                <c:pt idx="3">
                  <c:v>Data Integration</c:v>
                </c:pt>
                <c:pt idx="4">
                  <c:v>Research Contribution</c:v>
                </c:pt>
                <c:pt idx="5">
                  <c:v>Collaborations</c:v>
                </c:pt>
                <c:pt idx="6">
                  <c:v>Governance</c:v>
                </c:pt>
              </c:strCache>
            </c:strRef>
          </c:cat>
          <c:val>
            <c:numRef>
              <c:f>Summary!$B$10:$B$16</c:f>
              <c:numCache>
                <c:formatCode>General</c:formatCode>
                <c:ptCount val="7"/>
                <c:pt idx="0">
                  <c:v>2</c:v>
                </c:pt>
                <c:pt idx="1">
                  <c:v>0</c:v>
                </c:pt>
                <c:pt idx="2">
                  <c:v>1</c:v>
                </c:pt>
                <c:pt idx="3">
                  <c:v>0</c:v>
                </c:pt>
                <c:pt idx="4">
                  <c:v>0</c:v>
                </c:pt>
                <c:pt idx="5">
                  <c:v>0</c:v>
                </c:pt>
                <c:pt idx="6">
                  <c:v>0</c:v>
                </c:pt>
              </c:numCache>
            </c:numRef>
          </c:val>
          <c:extLst>
            <c:ext xmlns:c16="http://schemas.microsoft.com/office/drawing/2014/chart" uri="{C3380CC4-5D6E-409C-BE32-E72D297353CC}">
              <c16:uniqueId val="{00000000-B62B-E446-B47A-421F8EDAF959}"/>
            </c:ext>
          </c:extLst>
        </c:ser>
        <c:ser>
          <c:idx val="1"/>
          <c:order val="1"/>
          <c:tx>
            <c:strRef>
              <c:f>Summary!$C$9</c:f>
              <c:strCache>
                <c:ptCount val="1"/>
                <c:pt idx="0">
                  <c:v>Partially Documented</c:v>
                </c:pt>
              </c:strCache>
            </c:strRef>
          </c:tx>
          <c:spPr>
            <a:solidFill>
              <a:schemeClr val="accent2"/>
            </a:solidFill>
            <a:ln>
              <a:noFill/>
            </a:ln>
            <a:effectLst/>
          </c:spPr>
          <c:invertIfNegative val="0"/>
          <c:cat>
            <c:strRef>
              <c:f>Summary!$A$10:$A$16</c:f>
              <c:strCache>
                <c:ptCount val="7"/>
                <c:pt idx="0">
                  <c:v>AEFI Management</c:v>
                </c:pt>
                <c:pt idx="1">
                  <c:v>Signal ID &amp; Assessment</c:v>
                </c:pt>
                <c:pt idx="2">
                  <c:v>Clear Communication</c:v>
                </c:pt>
                <c:pt idx="3">
                  <c:v>Data Integration</c:v>
                </c:pt>
                <c:pt idx="4">
                  <c:v>Research Contribution</c:v>
                </c:pt>
                <c:pt idx="5">
                  <c:v>Collaborations</c:v>
                </c:pt>
                <c:pt idx="6">
                  <c:v>Governance</c:v>
                </c:pt>
              </c:strCache>
            </c:strRef>
          </c:cat>
          <c:val>
            <c:numRef>
              <c:f>Summary!$C$10:$C$16</c:f>
              <c:numCache>
                <c:formatCode>General</c:formatCode>
                <c:ptCount val="7"/>
                <c:pt idx="0">
                  <c:v>3</c:v>
                </c:pt>
                <c:pt idx="1">
                  <c:v>4</c:v>
                </c:pt>
                <c:pt idx="2">
                  <c:v>0</c:v>
                </c:pt>
                <c:pt idx="3">
                  <c:v>1</c:v>
                </c:pt>
                <c:pt idx="4">
                  <c:v>1</c:v>
                </c:pt>
                <c:pt idx="5">
                  <c:v>2</c:v>
                </c:pt>
                <c:pt idx="6">
                  <c:v>0</c:v>
                </c:pt>
              </c:numCache>
            </c:numRef>
          </c:val>
          <c:extLst>
            <c:ext xmlns:c16="http://schemas.microsoft.com/office/drawing/2014/chart" uri="{C3380CC4-5D6E-409C-BE32-E72D297353CC}">
              <c16:uniqueId val="{00000001-B62B-E446-B47A-421F8EDAF959}"/>
            </c:ext>
          </c:extLst>
        </c:ser>
        <c:ser>
          <c:idx val="2"/>
          <c:order val="2"/>
          <c:tx>
            <c:strRef>
              <c:f>Summary!$D$9</c:f>
              <c:strCache>
                <c:ptCount val="1"/>
                <c:pt idx="0">
                  <c:v>Not Documented</c:v>
                </c:pt>
              </c:strCache>
            </c:strRef>
          </c:tx>
          <c:spPr>
            <a:solidFill>
              <a:schemeClr val="accent3"/>
            </a:solidFill>
            <a:ln>
              <a:noFill/>
            </a:ln>
            <a:effectLst/>
          </c:spPr>
          <c:invertIfNegative val="0"/>
          <c:cat>
            <c:strRef>
              <c:f>Summary!$A$10:$A$16</c:f>
              <c:strCache>
                <c:ptCount val="7"/>
                <c:pt idx="0">
                  <c:v>AEFI Management</c:v>
                </c:pt>
                <c:pt idx="1">
                  <c:v>Signal ID &amp; Assessment</c:v>
                </c:pt>
                <c:pt idx="2">
                  <c:v>Clear Communication</c:v>
                </c:pt>
                <c:pt idx="3">
                  <c:v>Data Integration</c:v>
                </c:pt>
                <c:pt idx="4">
                  <c:v>Research Contribution</c:v>
                </c:pt>
                <c:pt idx="5">
                  <c:v>Collaborations</c:v>
                </c:pt>
                <c:pt idx="6">
                  <c:v>Governance</c:v>
                </c:pt>
              </c:strCache>
            </c:strRef>
          </c:cat>
          <c:val>
            <c:numRef>
              <c:f>Summary!$D$10:$D$16</c:f>
              <c:numCache>
                <c:formatCode>General</c:formatCode>
                <c:ptCount val="7"/>
                <c:pt idx="0">
                  <c:v>0</c:v>
                </c:pt>
                <c:pt idx="1">
                  <c:v>4</c:v>
                </c:pt>
                <c:pt idx="2">
                  <c:v>0</c:v>
                </c:pt>
                <c:pt idx="3">
                  <c:v>0</c:v>
                </c:pt>
                <c:pt idx="4">
                  <c:v>0</c:v>
                </c:pt>
                <c:pt idx="5">
                  <c:v>0</c:v>
                </c:pt>
                <c:pt idx="6">
                  <c:v>2</c:v>
                </c:pt>
              </c:numCache>
            </c:numRef>
          </c:val>
          <c:extLst>
            <c:ext xmlns:c16="http://schemas.microsoft.com/office/drawing/2014/chart" uri="{C3380CC4-5D6E-409C-BE32-E72D297353CC}">
              <c16:uniqueId val="{00000002-B62B-E446-B47A-421F8EDAF959}"/>
            </c:ext>
          </c:extLst>
        </c:ser>
        <c:dLbls>
          <c:showLegendKey val="0"/>
          <c:showVal val="0"/>
          <c:showCatName val="0"/>
          <c:showSerName val="0"/>
          <c:showPercent val="0"/>
          <c:showBubbleSize val="0"/>
        </c:dLbls>
        <c:gapWidth val="150"/>
        <c:overlap val="100"/>
        <c:axId val="1013891855"/>
        <c:axId val="1013050767"/>
      </c:barChart>
      <c:catAx>
        <c:axId val="10138918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050767"/>
        <c:crosses val="autoZero"/>
        <c:auto val="1"/>
        <c:lblAlgn val="ctr"/>
        <c:lblOffset val="100"/>
        <c:noMultiLvlLbl val="0"/>
      </c:catAx>
      <c:valAx>
        <c:axId val="10130507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8918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0</xdr:colOff>
      <xdr:row>2</xdr:row>
      <xdr:rowOff>0</xdr:rowOff>
    </xdr:from>
    <xdr:to>
      <xdr:col>11</xdr:col>
      <xdr:colOff>444500</xdr:colOff>
      <xdr:row>15</xdr:row>
      <xdr:rowOff>101600</xdr:rowOff>
    </xdr:to>
    <xdr:graphicFrame macro="">
      <xdr:nvGraphicFramePr>
        <xdr:cNvPr id="2" name="Chart 1">
          <a:extLst>
            <a:ext uri="{FF2B5EF4-FFF2-40B4-BE49-F238E27FC236}">
              <a16:creationId xmlns:a16="http://schemas.microsoft.com/office/drawing/2014/main" id="{42D8C426-7A3B-920A-102D-D690954F9C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18</xdr:row>
      <xdr:rowOff>0</xdr:rowOff>
    </xdr:from>
    <xdr:to>
      <xdr:col>11</xdr:col>
      <xdr:colOff>444500</xdr:colOff>
      <xdr:row>31</xdr:row>
      <xdr:rowOff>101600</xdr:rowOff>
    </xdr:to>
    <xdr:graphicFrame macro="">
      <xdr:nvGraphicFramePr>
        <xdr:cNvPr id="3" name="Chart 2">
          <a:extLst>
            <a:ext uri="{FF2B5EF4-FFF2-40B4-BE49-F238E27FC236}">
              <a16:creationId xmlns:a16="http://schemas.microsoft.com/office/drawing/2014/main" id="{AA2F7E82-7FFF-8336-66E8-97E8C7E221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8d8ab10-f156-466c-ae91-138abb8c373a}">
  <we:reference id="WA200009404" version="1.0.0.5" store="en-US" storeType="OMEX"/>
  <we:alternateReferences/>
  <we:properties>
    <we:property name="Microsoft.Office.CampaignId" value="&quot;none&quot;"/>
    <we:property name="Office.AutoShowTaskpaneWithDocument" value="true"/>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hyperlink" Target="https://github.com/paulrekaris/TGA-COVID19-Vaccine-Safety-Monitoring-Audit/blob/main/analysis/ISO_19011_Management_Systems_Audit_Checklist.md" TargetMode="External"/><Relationship Id="rId1" Type="http://schemas.openxmlformats.org/officeDocument/2006/relationships/hyperlink" Target="https://github.com/paulrekaris/TGA-COVID19-Vaccine-Safety-Monitoring-Audit/blob/main/analysis/ISO_19011_Management_Systems_Audit_Checklist.m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E9E452-172E-C743-8C29-3B7C4C394195}">
  <dimension ref="A1:T22"/>
  <sheetViews>
    <sheetView zoomScale="78" zoomScaleNormal="78" workbookViewId="0">
      <pane xSplit="1" topLeftCell="B1" activePane="topRight" state="frozen"/>
      <selection pane="topRight" activeCell="A3" sqref="A3"/>
    </sheetView>
  </sheetViews>
  <sheetFormatPr baseColWidth="10" defaultColWidth="10.6640625" defaultRowHeight="16" x14ac:dyDescent="0.2"/>
  <cols>
    <col min="1" max="1" width="12.5" style="19" customWidth="1"/>
    <col min="2" max="2" width="30" style="19" bestFit="1" customWidth="1"/>
    <col min="3" max="3" width="23.33203125" style="19" customWidth="1"/>
    <col min="4" max="4" width="21.6640625" style="19" customWidth="1"/>
    <col min="5" max="5" width="12.5" style="19" customWidth="1"/>
    <col min="6" max="6" width="70.83203125" style="19" customWidth="1"/>
    <col min="7" max="7" width="75.6640625" style="19" customWidth="1"/>
    <col min="8" max="8" width="75" style="19" customWidth="1"/>
    <col min="9" max="9" width="54.83203125" style="19" customWidth="1"/>
    <col min="10" max="16384" width="10.6640625" style="19"/>
  </cols>
  <sheetData>
    <row r="1" spans="1:20" ht="31" customHeight="1" x14ac:dyDescent="0.2">
      <c r="A1" s="28" t="s">
        <v>126</v>
      </c>
      <c r="B1" s="28"/>
      <c r="C1" s="28"/>
      <c r="D1" s="28"/>
      <c r="E1" s="28"/>
    </row>
    <row r="2" spans="1:20" s="22" customFormat="1" ht="20" x14ac:dyDescent="0.2">
      <c r="A2" s="21" t="s">
        <v>0</v>
      </c>
      <c r="B2" s="21" t="s">
        <v>1</v>
      </c>
      <c r="C2" s="21" t="s">
        <v>2</v>
      </c>
      <c r="D2" s="21" t="s">
        <v>3</v>
      </c>
      <c r="E2" s="21" t="s">
        <v>4</v>
      </c>
      <c r="F2" s="21" t="s">
        <v>5</v>
      </c>
      <c r="G2" s="21" t="s">
        <v>6</v>
      </c>
      <c r="H2" s="21" t="s">
        <v>7</v>
      </c>
      <c r="I2" s="21" t="s">
        <v>8</v>
      </c>
    </row>
    <row r="3" spans="1:20" ht="51" x14ac:dyDescent="0.2">
      <c r="A3" s="23">
        <v>1.1000000000000001</v>
      </c>
      <c r="B3" s="19" t="s">
        <v>9</v>
      </c>
      <c r="C3" s="19" t="s">
        <v>10</v>
      </c>
      <c r="D3" s="24" t="s">
        <v>11</v>
      </c>
      <c r="E3" s="25">
        <v>5</v>
      </c>
      <c r="F3" s="19" t="s">
        <v>12</v>
      </c>
      <c r="G3" s="19" t="s">
        <v>13</v>
      </c>
      <c r="H3" s="19" t="s">
        <v>14</v>
      </c>
      <c r="I3" s="20" t="s">
        <v>15</v>
      </c>
      <c r="J3" s="20"/>
      <c r="K3" s="20"/>
      <c r="L3" s="20"/>
      <c r="M3" s="20"/>
      <c r="N3" s="20"/>
      <c r="O3" s="20"/>
      <c r="P3" s="20"/>
      <c r="Q3" s="20"/>
      <c r="R3" s="20"/>
      <c r="S3" s="20"/>
      <c r="T3" s="20"/>
    </row>
    <row r="4" spans="1:20" ht="34" x14ac:dyDescent="0.2">
      <c r="A4" s="23">
        <v>1.2</v>
      </c>
      <c r="B4" s="19" t="s">
        <v>16</v>
      </c>
      <c r="C4" s="19" t="s">
        <v>10</v>
      </c>
      <c r="D4" s="24" t="s">
        <v>11</v>
      </c>
      <c r="E4" s="25">
        <v>5</v>
      </c>
      <c r="F4" s="19" t="s">
        <v>17</v>
      </c>
      <c r="G4" s="19" t="s">
        <v>18</v>
      </c>
      <c r="H4" s="19" t="s">
        <v>19</v>
      </c>
      <c r="I4" s="20" t="s">
        <v>20</v>
      </c>
      <c r="J4" s="20"/>
      <c r="K4" s="20"/>
      <c r="L4" s="20"/>
      <c r="M4" s="20"/>
      <c r="N4" s="20"/>
      <c r="O4" s="20"/>
      <c r="P4" s="20"/>
      <c r="Q4" s="20"/>
      <c r="R4" s="20"/>
      <c r="S4" s="20"/>
      <c r="T4" s="20"/>
    </row>
    <row r="5" spans="1:20" ht="51" x14ac:dyDescent="0.2">
      <c r="A5" s="23">
        <v>1.3</v>
      </c>
      <c r="B5" s="19" t="s">
        <v>21</v>
      </c>
      <c r="C5" s="19" t="s">
        <v>10</v>
      </c>
      <c r="D5" s="26" t="s">
        <v>22</v>
      </c>
      <c r="E5" s="25">
        <v>3</v>
      </c>
      <c r="F5" s="19" t="s">
        <v>23</v>
      </c>
      <c r="G5" s="19" t="s">
        <v>24</v>
      </c>
      <c r="H5" s="19" t="s">
        <v>25</v>
      </c>
      <c r="I5" s="20" t="s">
        <v>26</v>
      </c>
      <c r="J5" s="20"/>
      <c r="K5" s="20"/>
      <c r="L5" s="20"/>
      <c r="M5" s="20"/>
      <c r="N5" s="20"/>
      <c r="O5" s="20"/>
      <c r="P5" s="20"/>
      <c r="Q5" s="20"/>
      <c r="R5" s="20"/>
      <c r="S5" s="20"/>
      <c r="T5" s="20"/>
    </row>
    <row r="6" spans="1:20" ht="51" x14ac:dyDescent="0.2">
      <c r="A6" s="23">
        <v>1.4</v>
      </c>
      <c r="B6" s="19" t="s">
        <v>27</v>
      </c>
      <c r="C6" s="19" t="s">
        <v>10</v>
      </c>
      <c r="D6" s="26" t="s">
        <v>22</v>
      </c>
      <c r="E6" s="25">
        <v>3</v>
      </c>
      <c r="F6" s="19" t="s">
        <v>28</v>
      </c>
      <c r="G6" s="19" t="s">
        <v>29</v>
      </c>
      <c r="H6" s="19" t="s">
        <v>30</v>
      </c>
      <c r="I6" s="20" t="s">
        <v>31</v>
      </c>
      <c r="J6" s="20"/>
      <c r="K6" s="20"/>
      <c r="L6" s="20"/>
      <c r="M6" s="20"/>
      <c r="N6" s="20"/>
      <c r="O6" s="20"/>
      <c r="P6" s="20"/>
      <c r="Q6" s="20"/>
      <c r="R6" s="20"/>
      <c r="S6" s="20"/>
      <c r="T6" s="20"/>
    </row>
    <row r="7" spans="1:20" ht="51" x14ac:dyDescent="0.2">
      <c r="A7" s="23">
        <v>1.5</v>
      </c>
      <c r="B7" s="19" t="s">
        <v>32</v>
      </c>
      <c r="C7" s="19" t="s">
        <v>10</v>
      </c>
      <c r="D7" s="26" t="s">
        <v>22</v>
      </c>
      <c r="E7" s="25">
        <v>3</v>
      </c>
      <c r="F7" s="19" t="s">
        <v>28</v>
      </c>
      <c r="G7" s="19" t="s">
        <v>33</v>
      </c>
      <c r="H7" s="19" t="s">
        <v>34</v>
      </c>
      <c r="I7" s="20" t="s">
        <v>35</v>
      </c>
      <c r="J7" s="20"/>
      <c r="K7" s="20"/>
      <c r="L7" s="20"/>
      <c r="M7" s="20"/>
      <c r="N7" s="20"/>
      <c r="O7" s="20"/>
      <c r="P7" s="20"/>
      <c r="Q7" s="20"/>
      <c r="R7" s="20"/>
      <c r="S7" s="20"/>
      <c r="T7" s="20"/>
    </row>
    <row r="8" spans="1:20" ht="68" x14ac:dyDescent="0.2">
      <c r="A8" s="23">
        <v>2.1</v>
      </c>
      <c r="B8" s="19" t="s">
        <v>36</v>
      </c>
      <c r="C8" s="19" t="s">
        <v>37</v>
      </c>
      <c r="D8" s="26" t="s">
        <v>22</v>
      </c>
      <c r="E8" s="25">
        <v>4</v>
      </c>
      <c r="F8" s="19" t="s">
        <v>38</v>
      </c>
      <c r="G8" s="19" t="s">
        <v>39</v>
      </c>
      <c r="H8" s="19" t="s">
        <v>40</v>
      </c>
      <c r="I8" s="20" t="s">
        <v>41</v>
      </c>
      <c r="J8" s="20"/>
      <c r="K8" s="20"/>
      <c r="L8" s="20"/>
      <c r="M8" s="20"/>
      <c r="N8" s="20"/>
      <c r="O8" s="20"/>
      <c r="P8" s="20"/>
      <c r="Q8" s="20"/>
      <c r="R8" s="20"/>
      <c r="S8" s="20"/>
      <c r="T8" s="20"/>
    </row>
    <row r="9" spans="1:20" ht="68" x14ac:dyDescent="0.2">
      <c r="A9" s="23">
        <v>2.2000000000000002</v>
      </c>
      <c r="B9" s="19" t="s">
        <v>42</v>
      </c>
      <c r="C9" s="19" t="s">
        <v>37</v>
      </c>
      <c r="D9" s="27" t="s">
        <v>43</v>
      </c>
      <c r="E9" s="25">
        <v>5</v>
      </c>
      <c r="F9" s="19" t="s">
        <v>44</v>
      </c>
      <c r="G9" s="19" t="s">
        <v>45</v>
      </c>
      <c r="H9" s="19" t="s">
        <v>46</v>
      </c>
      <c r="I9" s="20" t="s">
        <v>47</v>
      </c>
      <c r="J9" s="20"/>
      <c r="K9" s="20"/>
      <c r="L9" s="20"/>
      <c r="M9" s="20"/>
      <c r="N9" s="20"/>
      <c r="O9" s="20"/>
      <c r="P9" s="20"/>
      <c r="Q9" s="20"/>
      <c r="R9" s="20"/>
      <c r="S9" s="20"/>
      <c r="T9" s="20"/>
    </row>
    <row r="10" spans="1:20" ht="68" x14ac:dyDescent="0.2">
      <c r="A10" s="23">
        <v>2.2999999999999998</v>
      </c>
      <c r="B10" s="19" t="s">
        <v>48</v>
      </c>
      <c r="C10" s="19" t="s">
        <v>37</v>
      </c>
      <c r="D10" s="27" t="s">
        <v>43</v>
      </c>
      <c r="E10" s="25">
        <v>5</v>
      </c>
      <c r="F10" s="19" t="s">
        <v>49</v>
      </c>
      <c r="G10" s="19" t="s">
        <v>50</v>
      </c>
      <c r="H10" s="19" t="s">
        <v>51</v>
      </c>
      <c r="I10" s="20" t="s">
        <v>52</v>
      </c>
      <c r="J10" s="20"/>
      <c r="K10" s="20"/>
      <c r="L10" s="20"/>
      <c r="M10" s="20"/>
      <c r="N10" s="20"/>
      <c r="O10" s="20"/>
      <c r="P10" s="20"/>
      <c r="Q10" s="20"/>
      <c r="R10" s="20"/>
      <c r="S10" s="20"/>
      <c r="T10" s="20"/>
    </row>
    <row r="11" spans="1:20" ht="68" x14ac:dyDescent="0.2">
      <c r="A11" s="23">
        <v>2.4</v>
      </c>
      <c r="B11" s="19" t="s">
        <v>53</v>
      </c>
      <c r="C11" s="19" t="s">
        <v>37</v>
      </c>
      <c r="D11" s="26" t="s">
        <v>22</v>
      </c>
      <c r="E11" s="25">
        <v>5</v>
      </c>
      <c r="F11" s="19" t="s">
        <v>127</v>
      </c>
      <c r="G11" s="19" t="s">
        <v>54</v>
      </c>
      <c r="H11" s="19" t="s">
        <v>55</v>
      </c>
      <c r="I11" s="20" t="s">
        <v>372</v>
      </c>
      <c r="J11" s="20"/>
      <c r="K11" s="20"/>
      <c r="L11" s="20"/>
      <c r="M11" s="20"/>
      <c r="N11" s="20"/>
      <c r="O11" s="20"/>
      <c r="P11" s="20"/>
      <c r="Q11" s="20"/>
      <c r="R11" s="20"/>
      <c r="S11" s="20"/>
      <c r="T11" s="20"/>
    </row>
    <row r="12" spans="1:20" ht="51" x14ac:dyDescent="0.2">
      <c r="A12" s="23">
        <v>2.5</v>
      </c>
      <c r="B12" s="19" t="s">
        <v>56</v>
      </c>
      <c r="C12" s="19" t="s">
        <v>37</v>
      </c>
      <c r="D12" s="27" t="s">
        <v>43</v>
      </c>
      <c r="E12" s="25">
        <v>4</v>
      </c>
      <c r="F12" s="19" t="s">
        <v>57</v>
      </c>
      <c r="G12" s="19" t="s">
        <v>58</v>
      </c>
      <c r="H12" s="19" t="s">
        <v>59</v>
      </c>
      <c r="I12" s="20" t="s">
        <v>60</v>
      </c>
      <c r="J12" s="20"/>
      <c r="K12" s="20"/>
      <c r="L12" s="20"/>
      <c r="M12" s="20"/>
      <c r="N12" s="20"/>
      <c r="O12" s="20"/>
      <c r="P12" s="20"/>
      <c r="Q12" s="20"/>
      <c r="R12" s="20"/>
      <c r="S12" s="20"/>
      <c r="T12" s="20"/>
    </row>
    <row r="13" spans="1:20" ht="51" x14ac:dyDescent="0.2">
      <c r="A13" s="23">
        <v>2.6</v>
      </c>
      <c r="B13" s="19" t="s">
        <v>61</v>
      </c>
      <c r="C13" s="19" t="s">
        <v>37</v>
      </c>
      <c r="D13" s="27" t="s">
        <v>43</v>
      </c>
      <c r="E13" s="25">
        <v>3</v>
      </c>
      <c r="F13" s="19" t="s">
        <v>23</v>
      </c>
      <c r="G13" s="19" t="s">
        <v>62</v>
      </c>
      <c r="H13" s="19" t="s">
        <v>63</v>
      </c>
      <c r="I13" s="20" t="s">
        <v>64</v>
      </c>
      <c r="J13" s="20"/>
      <c r="K13" s="20"/>
      <c r="L13" s="20"/>
      <c r="M13" s="20"/>
      <c r="N13" s="20"/>
      <c r="O13" s="20"/>
      <c r="P13" s="20"/>
      <c r="Q13" s="20"/>
      <c r="R13" s="20"/>
      <c r="S13" s="20"/>
      <c r="T13" s="20"/>
    </row>
    <row r="14" spans="1:20" ht="51" x14ac:dyDescent="0.2">
      <c r="A14" s="23">
        <v>2.7</v>
      </c>
      <c r="B14" s="19" t="s">
        <v>65</v>
      </c>
      <c r="C14" s="19" t="s">
        <v>37</v>
      </c>
      <c r="D14" s="26" t="s">
        <v>22</v>
      </c>
      <c r="E14" s="25">
        <v>3</v>
      </c>
      <c r="F14" s="19" t="s">
        <v>66</v>
      </c>
      <c r="G14" s="19" t="s">
        <v>67</v>
      </c>
      <c r="H14" s="19" t="s">
        <v>68</v>
      </c>
      <c r="I14" s="20" t="s">
        <v>69</v>
      </c>
      <c r="J14" s="20"/>
      <c r="K14" s="20"/>
      <c r="L14" s="20"/>
      <c r="M14" s="20"/>
      <c r="N14" s="20"/>
      <c r="O14" s="20"/>
      <c r="P14" s="20"/>
      <c r="Q14" s="20"/>
      <c r="R14" s="20"/>
      <c r="S14" s="20"/>
      <c r="T14" s="20"/>
    </row>
    <row r="15" spans="1:20" ht="85" customHeight="1" x14ac:dyDescent="0.2">
      <c r="A15" s="23">
        <v>2.8</v>
      </c>
      <c r="B15" s="19" t="s">
        <v>70</v>
      </c>
      <c r="C15" s="19" t="s">
        <v>37</v>
      </c>
      <c r="D15" s="26" t="s">
        <v>22</v>
      </c>
      <c r="E15" s="25">
        <v>3</v>
      </c>
      <c r="F15" s="19" t="s">
        <v>371</v>
      </c>
      <c r="G15" s="19" t="s">
        <v>373</v>
      </c>
      <c r="H15" s="19" t="s">
        <v>374</v>
      </c>
      <c r="I15" s="20" t="s">
        <v>372</v>
      </c>
      <c r="J15" s="20"/>
      <c r="K15" s="20"/>
      <c r="L15" s="20"/>
      <c r="M15" s="20"/>
      <c r="N15" s="20"/>
      <c r="O15" s="20"/>
      <c r="P15" s="20"/>
      <c r="Q15" s="20"/>
      <c r="R15" s="20"/>
      <c r="S15" s="20"/>
      <c r="T15" s="20"/>
    </row>
    <row r="16" spans="1:20" ht="51" x14ac:dyDescent="0.2">
      <c r="A16" s="23">
        <v>3.1</v>
      </c>
      <c r="B16" s="19" t="s">
        <v>71</v>
      </c>
      <c r="C16" s="19" t="s">
        <v>72</v>
      </c>
      <c r="D16" s="24" t="s">
        <v>11</v>
      </c>
      <c r="E16" s="25">
        <v>5</v>
      </c>
      <c r="F16" s="19" t="s">
        <v>73</v>
      </c>
      <c r="G16" s="19" t="s">
        <v>74</v>
      </c>
      <c r="H16" s="19" t="s">
        <v>75</v>
      </c>
      <c r="I16" s="20" t="s">
        <v>76</v>
      </c>
      <c r="J16" s="20"/>
      <c r="K16" s="20"/>
      <c r="L16" s="20"/>
      <c r="M16" s="20"/>
      <c r="N16" s="20"/>
      <c r="O16" s="20"/>
      <c r="P16" s="20"/>
      <c r="Q16" s="20"/>
      <c r="R16" s="20"/>
      <c r="S16" s="20"/>
      <c r="T16" s="20"/>
    </row>
    <row r="17" spans="1:20" ht="68" x14ac:dyDescent="0.2">
      <c r="A17" s="23">
        <v>4.0999999999999996</v>
      </c>
      <c r="B17" s="19" t="s">
        <v>77</v>
      </c>
      <c r="C17" s="19" t="s">
        <v>78</v>
      </c>
      <c r="D17" s="26" t="s">
        <v>22</v>
      </c>
      <c r="E17" s="25">
        <v>4</v>
      </c>
      <c r="F17" s="19" t="s">
        <v>28</v>
      </c>
      <c r="G17" s="19" t="s">
        <v>79</v>
      </c>
      <c r="H17" s="19" t="s">
        <v>80</v>
      </c>
      <c r="I17" s="20" t="s">
        <v>81</v>
      </c>
      <c r="J17" s="20"/>
      <c r="K17" s="20"/>
      <c r="L17" s="20"/>
      <c r="M17" s="20"/>
      <c r="N17" s="20"/>
      <c r="O17" s="20"/>
      <c r="P17" s="20"/>
      <c r="Q17" s="20"/>
      <c r="R17" s="20"/>
      <c r="S17" s="20"/>
      <c r="T17" s="20"/>
    </row>
    <row r="18" spans="1:20" ht="51" x14ac:dyDescent="0.2">
      <c r="A18" s="23">
        <v>5.0999999999999996</v>
      </c>
      <c r="B18" s="19" t="s">
        <v>82</v>
      </c>
      <c r="C18" s="19" t="s">
        <v>83</v>
      </c>
      <c r="D18" s="26" t="s">
        <v>22</v>
      </c>
      <c r="E18" s="25">
        <v>2</v>
      </c>
      <c r="F18" s="19" t="s">
        <v>84</v>
      </c>
      <c r="G18" s="19" t="s">
        <v>85</v>
      </c>
      <c r="H18" s="19" t="s">
        <v>86</v>
      </c>
      <c r="I18" s="20" t="s">
        <v>87</v>
      </c>
      <c r="J18" s="20"/>
      <c r="K18" s="20"/>
      <c r="L18" s="20"/>
      <c r="M18" s="20"/>
      <c r="N18" s="20"/>
      <c r="O18" s="20"/>
      <c r="P18" s="20"/>
      <c r="Q18" s="20"/>
      <c r="R18" s="20"/>
      <c r="S18" s="20"/>
      <c r="T18" s="20"/>
    </row>
    <row r="19" spans="1:20" ht="51" x14ac:dyDescent="0.2">
      <c r="A19" s="23" t="s">
        <v>88</v>
      </c>
      <c r="B19" s="19" t="s">
        <v>89</v>
      </c>
      <c r="C19" s="19" t="s">
        <v>90</v>
      </c>
      <c r="D19" s="26" t="s">
        <v>22</v>
      </c>
      <c r="E19" s="25">
        <v>3</v>
      </c>
      <c r="F19" s="19" t="s">
        <v>91</v>
      </c>
      <c r="G19" s="19" t="s">
        <v>92</v>
      </c>
      <c r="H19" s="19" t="s">
        <v>93</v>
      </c>
      <c r="I19" s="20" t="s">
        <v>94</v>
      </c>
      <c r="J19" s="20"/>
      <c r="K19" s="20"/>
      <c r="L19" s="20"/>
      <c r="M19" s="20"/>
      <c r="N19" s="20"/>
      <c r="O19" s="20"/>
      <c r="P19" s="20"/>
      <c r="Q19" s="20"/>
      <c r="R19" s="20"/>
      <c r="S19" s="20"/>
      <c r="T19" s="20"/>
    </row>
    <row r="20" spans="1:20" ht="51" x14ac:dyDescent="0.2">
      <c r="A20" s="23" t="s">
        <v>95</v>
      </c>
      <c r="B20" s="19" t="s">
        <v>96</v>
      </c>
      <c r="C20" s="19" t="s">
        <v>90</v>
      </c>
      <c r="D20" s="26" t="s">
        <v>22</v>
      </c>
      <c r="E20" s="25">
        <v>3</v>
      </c>
      <c r="F20" s="19" t="s">
        <v>97</v>
      </c>
      <c r="G20" s="19" t="s">
        <v>98</v>
      </c>
      <c r="H20" s="19" t="s">
        <v>99</v>
      </c>
      <c r="I20" s="20" t="s">
        <v>100</v>
      </c>
      <c r="J20" s="20"/>
      <c r="K20" s="20"/>
      <c r="L20" s="20"/>
      <c r="M20" s="20"/>
      <c r="N20" s="20"/>
      <c r="O20" s="20"/>
      <c r="P20" s="20"/>
      <c r="Q20" s="20"/>
      <c r="R20" s="20"/>
      <c r="S20" s="20"/>
      <c r="T20" s="20"/>
    </row>
    <row r="21" spans="1:20" ht="68" x14ac:dyDescent="0.2">
      <c r="A21" s="23" t="s">
        <v>101</v>
      </c>
      <c r="B21" s="19" t="s">
        <v>102</v>
      </c>
      <c r="C21" s="19" t="s">
        <v>103</v>
      </c>
      <c r="D21" s="27" t="s">
        <v>43</v>
      </c>
      <c r="E21" s="25">
        <v>5</v>
      </c>
      <c r="F21" s="19" t="s">
        <v>104</v>
      </c>
      <c r="G21" s="19" t="s">
        <v>105</v>
      </c>
      <c r="H21" s="19" t="s">
        <v>106</v>
      </c>
      <c r="I21" s="20" t="s">
        <v>107</v>
      </c>
      <c r="J21" s="20"/>
      <c r="K21" s="20"/>
      <c r="L21" s="20"/>
      <c r="M21" s="20"/>
      <c r="N21" s="20"/>
      <c r="O21" s="20"/>
      <c r="P21" s="20"/>
      <c r="Q21" s="20"/>
      <c r="R21" s="20"/>
      <c r="S21" s="20"/>
      <c r="T21" s="20"/>
    </row>
    <row r="22" spans="1:20" ht="68" x14ac:dyDescent="0.2">
      <c r="A22" s="23" t="s">
        <v>108</v>
      </c>
      <c r="B22" s="19" t="s">
        <v>109</v>
      </c>
      <c r="C22" s="19" t="s">
        <v>103</v>
      </c>
      <c r="D22" s="27" t="s">
        <v>43</v>
      </c>
      <c r="E22" s="25">
        <v>5</v>
      </c>
      <c r="F22" s="19" t="s">
        <v>110</v>
      </c>
      <c r="G22" s="19" t="s">
        <v>111</v>
      </c>
      <c r="H22" s="19" t="s">
        <v>112</v>
      </c>
      <c r="I22" s="20" t="s">
        <v>113</v>
      </c>
      <c r="J22" s="20"/>
      <c r="K22" s="20"/>
      <c r="L22" s="20"/>
      <c r="M22" s="20"/>
      <c r="N22" s="20"/>
      <c r="O22" s="20"/>
      <c r="P22" s="20"/>
      <c r="Q22" s="20"/>
      <c r="R22" s="20"/>
      <c r="S22" s="20"/>
      <c r="T22" s="20"/>
    </row>
  </sheetData>
  <mergeCells count="1">
    <mergeCell ref="A1:E1"/>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7C013-7F2D-9146-A838-7E8244A397B8}">
  <dimension ref="A1:E27"/>
  <sheetViews>
    <sheetView workbookViewId="0">
      <selection activeCell="D31" sqref="D31"/>
    </sheetView>
  </sheetViews>
  <sheetFormatPr baseColWidth="10" defaultRowHeight="16" x14ac:dyDescent="0.2"/>
  <cols>
    <col min="1" max="1" width="26.6640625" customWidth="1"/>
    <col min="2" max="5" width="20" customWidth="1"/>
  </cols>
  <sheetData>
    <row r="1" spans="1:5" ht="21" x14ac:dyDescent="0.25">
      <c r="A1" s="7" t="s">
        <v>114</v>
      </c>
    </row>
    <row r="3" spans="1:5" x14ac:dyDescent="0.2">
      <c r="A3" s="1" t="s">
        <v>115</v>
      </c>
      <c r="B3" s="2" t="s">
        <v>116</v>
      </c>
      <c r="C3" s="2" t="s">
        <v>117</v>
      </c>
    </row>
    <row r="4" spans="1:5" x14ac:dyDescent="0.2">
      <c r="A4" s="3" t="s">
        <v>11</v>
      </c>
      <c r="B4" s="4">
        <v>3</v>
      </c>
      <c r="C4" s="8">
        <f>B4/B7</f>
        <v>0.15</v>
      </c>
    </row>
    <row r="5" spans="1:5" x14ac:dyDescent="0.2">
      <c r="A5" s="5" t="s">
        <v>22</v>
      </c>
      <c r="B5" s="4">
        <v>11</v>
      </c>
      <c r="C5" s="8">
        <f>B5/B7</f>
        <v>0.55000000000000004</v>
      </c>
    </row>
    <row r="6" spans="1:5" x14ac:dyDescent="0.2">
      <c r="A6" s="6" t="s">
        <v>43</v>
      </c>
      <c r="B6" s="4">
        <v>6</v>
      </c>
      <c r="C6" s="8">
        <f>B6/B7</f>
        <v>0.3</v>
      </c>
    </row>
    <row r="7" spans="1:5" x14ac:dyDescent="0.2">
      <c r="A7" s="9" t="s">
        <v>118</v>
      </c>
      <c r="B7" s="10">
        <f>SUM(B4:B6)</f>
        <v>20</v>
      </c>
      <c r="C7" s="11">
        <f>SUM(C4:C6)</f>
        <v>1</v>
      </c>
    </row>
    <row r="9" spans="1:5" x14ac:dyDescent="0.2">
      <c r="A9" s="1" t="s">
        <v>119</v>
      </c>
      <c r="B9" s="12" t="s">
        <v>11</v>
      </c>
      <c r="C9" s="13" t="s">
        <v>22</v>
      </c>
      <c r="D9" s="14" t="s">
        <v>43</v>
      </c>
      <c r="E9" s="2" t="s">
        <v>120</v>
      </c>
    </row>
    <row r="10" spans="1:5" x14ac:dyDescent="0.2">
      <c r="A10" t="s">
        <v>10</v>
      </c>
      <c r="B10" s="4">
        <v>2</v>
      </c>
      <c r="C10" s="4">
        <v>3</v>
      </c>
      <c r="D10" s="4">
        <v>0</v>
      </c>
      <c r="E10" s="10">
        <f t="shared" ref="E10:E16" si="0">SUM(B10:D10)</f>
        <v>5</v>
      </c>
    </row>
    <row r="11" spans="1:5" x14ac:dyDescent="0.2">
      <c r="A11" t="s">
        <v>37</v>
      </c>
      <c r="B11" s="4">
        <v>0</v>
      </c>
      <c r="C11" s="4">
        <v>4</v>
      </c>
      <c r="D11" s="4">
        <v>4</v>
      </c>
      <c r="E11" s="10">
        <f t="shared" si="0"/>
        <v>8</v>
      </c>
    </row>
    <row r="12" spans="1:5" x14ac:dyDescent="0.2">
      <c r="A12" t="s">
        <v>72</v>
      </c>
      <c r="B12" s="4">
        <v>1</v>
      </c>
      <c r="C12" s="4">
        <v>0</v>
      </c>
      <c r="D12" s="4">
        <v>0</v>
      </c>
      <c r="E12" s="10">
        <f t="shared" si="0"/>
        <v>1</v>
      </c>
    </row>
    <row r="13" spans="1:5" x14ac:dyDescent="0.2">
      <c r="A13" t="s">
        <v>78</v>
      </c>
      <c r="B13" s="4">
        <v>0</v>
      </c>
      <c r="C13" s="4">
        <v>1</v>
      </c>
      <c r="D13" s="4">
        <v>0</v>
      </c>
      <c r="E13" s="10">
        <f t="shared" si="0"/>
        <v>1</v>
      </c>
    </row>
    <row r="14" spans="1:5" x14ac:dyDescent="0.2">
      <c r="A14" t="s">
        <v>83</v>
      </c>
      <c r="B14" s="4">
        <v>0</v>
      </c>
      <c r="C14" s="4">
        <v>1</v>
      </c>
      <c r="D14" s="4">
        <v>0</v>
      </c>
      <c r="E14" s="10">
        <f t="shared" si="0"/>
        <v>1</v>
      </c>
    </row>
    <row r="15" spans="1:5" x14ac:dyDescent="0.2">
      <c r="A15" t="s">
        <v>90</v>
      </c>
      <c r="B15" s="4">
        <v>0</v>
      </c>
      <c r="C15" s="4">
        <v>2</v>
      </c>
      <c r="D15" s="4">
        <v>0</v>
      </c>
      <c r="E15" s="10">
        <f t="shared" si="0"/>
        <v>2</v>
      </c>
    </row>
    <row r="16" spans="1:5" x14ac:dyDescent="0.2">
      <c r="A16" t="s">
        <v>103</v>
      </c>
      <c r="B16" s="4">
        <v>0</v>
      </c>
      <c r="C16" s="4">
        <v>0</v>
      </c>
      <c r="D16" s="4">
        <v>2</v>
      </c>
      <c r="E16" s="10">
        <f t="shared" si="0"/>
        <v>2</v>
      </c>
    </row>
    <row r="17" spans="1:5" x14ac:dyDescent="0.2">
      <c r="A17" s="15" t="s">
        <v>118</v>
      </c>
      <c r="B17" s="16">
        <f>SUM(B10:B16)</f>
        <v>3</v>
      </c>
      <c r="C17" s="16">
        <f>SUM(C10:C16)</f>
        <v>11</v>
      </c>
      <c r="D17" s="16">
        <f>SUM(D10:D16)</f>
        <v>6</v>
      </c>
      <c r="E17" s="16">
        <f>SUM(E10:E16)</f>
        <v>20</v>
      </c>
    </row>
    <row r="19" spans="1:5" x14ac:dyDescent="0.2">
      <c r="A19" s="1" t="s">
        <v>121</v>
      </c>
      <c r="B19" s="2" t="s">
        <v>116</v>
      </c>
      <c r="C19" s="2" t="s">
        <v>122</v>
      </c>
      <c r="D19" s="2" t="s">
        <v>123</v>
      </c>
      <c r="E19" s="2" t="s">
        <v>124</v>
      </c>
    </row>
    <row r="20" spans="1:5" x14ac:dyDescent="0.2">
      <c r="A20" t="s">
        <v>10</v>
      </c>
      <c r="B20" s="4">
        <v>5</v>
      </c>
      <c r="C20" s="17">
        <v>3.8</v>
      </c>
      <c r="D20" s="4">
        <v>3</v>
      </c>
      <c r="E20" s="4">
        <v>5</v>
      </c>
    </row>
    <row r="21" spans="1:5" x14ac:dyDescent="0.2">
      <c r="A21" t="s">
        <v>37</v>
      </c>
      <c r="B21" s="4">
        <v>8</v>
      </c>
      <c r="C21" s="17">
        <v>4</v>
      </c>
      <c r="D21" s="4">
        <v>3</v>
      </c>
      <c r="E21" s="4">
        <v>5</v>
      </c>
    </row>
    <row r="22" spans="1:5" x14ac:dyDescent="0.2">
      <c r="A22" t="s">
        <v>72</v>
      </c>
      <c r="B22" s="4">
        <v>1</v>
      </c>
      <c r="C22" s="17">
        <v>5</v>
      </c>
      <c r="D22" s="4">
        <v>5</v>
      </c>
      <c r="E22" s="4">
        <v>5</v>
      </c>
    </row>
    <row r="23" spans="1:5" x14ac:dyDescent="0.2">
      <c r="A23" t="s">
        <v>78</v>
      </c>
      <c r="B23" s="4">
        <v>1</v>
      </c>
      <c r="C23" s="17">
        <v>4</v>
      </c>
      <c r="D23" s="4">
        <v>4</v>
      </c>
      <c r="E23" s="4">
        <v>4</v>
      </c>
    </row>
    <row r="24" spans="1:5" x14ac:dyDescent="0.2">
      <c r="A24" t="s">
        <v>83</v>
      </c>
      <c r="B24" s="4">
        <v>1</v>
      </c>
      <c r="C24" s="17">
        <v>2</v>
      </c>
      <c r="D24" s="4">
        <v>2</v>
      </c>
      <c r="E24" s="4">
        <v>2</v>
      </c>
    </row>
    <row r="25" spans="1:5" x14ac:dyDescent="0.2">
      <c r="A25" t="s">
        <v>90</v>
      </c>
      <c r="B25" s="4">
        <v>2</v>
      </c>
      <c r="C25" s="17">
        <v>3</v>
      </c>
      <c r="D25" s="4">
        <v>3</v>
      </c>
      <c r="E25" s="4">
        <v>3</v>
      </c>
    </row>
    <row r="26" spans="1:5" x14ac:dyDescent="0.2">
      <c r="A26" t="s">
        <v>103</v>
      </c>
      <c r="B26" s="4">
        <v>2</v>
      </c>
      <c r="C26" s="17">
        <v>5</v>
      </c>
      <c r="D26" s="4">
        <v>5</v>
      </c>
      <c r="E26" s="4">
        <v>5</v>
      </c>
    </row>
    <row r="27" spans="1:5" x14ac:dyDescent="0.2">
      <c r="A27" s="15" t="s">
        <v>125</v>
      </c>
      <c r="B27" s="16">
        <v>20</v>
      </c>
      <c r="C27" s="18">
        <v>3.9</v>
      </c>
      <c r="D27" s="16">
        <v>2</v>
      </c>
      <c r="E27" s="16">
        <v>5</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AAD58D-4E46-A446-8EEE-AF9065B52955}">
  <dimension ref="A1:L93"/>
  <sheetViews>
    <sheetView workbookViewId="0">
      <selection activeCell="A9" sqref="A9"/>
    </sheetView>
  </sheetViews>
  <sheetFormatPr baseColWidth="10" defaultRowHeight="16" x14ac:dyDescent="0.2"/>
  <cols>
    <col min="1" max="1" width="70.6640625" style="19" customWidth="1"/>
    <col min="2" max="2" width="73.83203125" style="19" customWidth="1"/>
    <col min="3" max="3" width="74.83203125" style="19" customWidth="1"/>
    <col min="4" max="4" width="44.1640625" style="19" customWidth="1"/>
    <col min="5" max="12" width="10.83203125" style="19"/>
    <col min="13" max="16384" width="10.83203125" style="30"/>
  </cols>
  <sheetData>
    <row r="1" spans="1:3" ht="32" x14ac:dyDescent="0.2">
      <c r="A1" s="29" t="s">
        <v>242</v>
      </c>
    </row>
    <row r="3" spans="1:3" ht="25" x14ac:dyDescent="0.2">
      <c r="A3" s="31" t="s">
        <v>128</v>
      </c>
    </row>
    <row r="5" spans="1:3" ht="85" x14ac:dyDescent="0.2">
      <c r="A5" s="19" t="s">
        <v>129</v>
      </c>
    </row>
    <row r="7" spans="1:3" ht="34" x14ac:dyDescent="0.2">
      <c r="A7" s="32" t="s">
        <v>130</v>
      </c>
    </row>
    <row r="9" spans="1:3" ht="51" x14ac:dyDescent="0.2">
      <c r="A9" s="33" t="s">
        <v>131</v>
      </c>
    </row>
    <row r="11" spans="1:3" ht="25" x14ac:dyDescent="0.2">
      <c r="A11" s="31" t="s">
        <v>132</v>
      </c>
    </row>
    <row r="13" spans="1:3" ht="17" x14ac:dyDescent="0.2">
      <c r="A13" s="33"/>
      <c r="B13" s="33" t="s">
        <v>133</v>
      </c>
      <c r="C13" s="33" t="s">
        <v>134</v>
      </c>
    </row>
    <row r="14" spans="1:3" ht="34" x14ac:dyDescent="0.2">
      <c r="A14" s="20">
        <v>1</v>
      </c>
      <c r="B14" s="35" t="s">
        <v>135</v>
      </c>
      <c r="C14" s="19" t="s">
        <v>136</v>
      </c>
    </row>
    <row r="15" spans="1:3" ht="34" x14ac:dyDescent="0.2">
      <c r="A15" s="20">
        <v>2</v>
      </c>
      <c r="B15" s="35" t="s">
        <v>137</v>
      </c>
      <c r="C15" s="19" t="s">
        <v>138</v>
      </c>
    </row>
    <row r="16" spans="1:3" ht="34" x14ac:dyDescent="0.2">
      <c r="A16" s="20">
        <v>3</v>
      </c>
      <c r="B16" s="35" t="s">
        <v>139</v>
      </c>
      <c r="C16" s="19" t="s">
        <v>140</v>
      </c>
    </row>
    <row r="17" spans="1:3" ht="34" x14ac:dyDescent="0.2">
      <c r="A17" s="20">
        <v>4</v>
      </c>
      <c r="B17" s="35" t="s">
        <v>141</v>
      </c>
      <c r="C17" s="19" t="s">
        <v>142</v>
      </c>
    </row>
    <row r="18" spans="1:3" ht="34" x14ac:dyDescent="0.2">
      <c r="A18" s="20">
        <v>5</v>
      </c>
      <c r="B18" s="35" t="s">
        <v>143</v>
      </c>
      <c r="C18" s="19" t="s">
        <v>144</v>
      </c>
    </row>
    <row r="19" spans="1:3" ht="51" x14ac:dyDescent="0.2">
      <c r="A19" s="20">
        <v>6</v>
      </c>
      <c r="B19" s="35" t="s">
        <v>145</v>
      </c>
      <c r="C19" s="19" t="s">
        <v>146</v>
      </c>
    </row>
    <row r="20" spans="1:3" ht="51" x14ac:dyDescent="0.2">
      <c r="A20" s="20">
        <v>7</v>
      </c>
      <c r="B20" s="35" t="s">
        <v>147</v>
      </c>
      <c r="C20" s="19" t="s">
        <v>148</v>
      </c>
    </row>
    <row r="22" spans="1:3" ht="25" x14ac:dyDescent="0.2">
      <c r="A22" s="31" t="s">
        <v>149</v>
      </c>
    </row>
    <row r="24" spans="1:3" ht="20" x14ac:dyDescent="0.2">
      <c r="A24" s="34" t="s">
        <v>150</v>
      </c>
    </row>
    <row r="26" spans="1:3" ht="17" x14ac:dyDescent="0.2">
      <c r="A26" s="33" t="s">
        <v>151</v>
      </c>
      <c r="B26" s="33" t="s">
        <v>152</v>
      </c>
      <c r="C26" s="33" t="s">
        <v>153</v>
      </c>
    </row>
    <row r="27" spans="1:3" ht="17" x14ac:dyDescent="0.2">
      <c r="A27" s="33" t="s">
        <v>154</v>
      </c>
      <c r="B27" s="19" t="s">
        <v>155</v>
      </c>
      <c r="C27" s="19" t="s">
        <v>156</v>
      </c>
    </row>
    <row r="28" spans="1:3" ht="17" x14ac:dyDescent="0.2">
      <c r="A28" s="33" t="s">
        <v>157</v>
      </c>
      <c r="B28" s="19" t="s">
        <v>158</v>
      </c>
      <c r="C28" s="19" t="s">
        <v>159</v>
      </c>
    </row>
    <row r="29" spans="1:3" ht="34" x14ac:dyDescent="0.2">
      <c r="A29" s="33" t="s">
        <v>160</v>
      </c>
      <c r="B29" s="19" t="s">
        <v>161</v>
      </c>
      <c r="C29" s="19" t="s">
        <v>162</v>
      </c>
    </row>
    <row r="31" spans="1:3" ht="20" x14ac:dyDescent="0.2">
      <c r="A31" s="34" t="s">
        <v>163</v>
      </c>
    </row>
    <row r="33" spans="1:3" ht="17" x14ac:dyDescent="0.2">
      <c r="A33" s="33" t="s">
        <v>164</v>
      </c>
      <c r="B33" s="33" t="s">
        <v>152</v>
      </c>
      <c r="C33" s="33" t="s">
        <v>153</v>
      </c>
    </row>
    <row r="34" spans="1:3" ht="34" x14ac:dyDescent="0.2">
      <c r="A34" s="33" t="s">
        <v>165</v>
      </c>
      <c r="B34" s="19" t="s">
        <v>166</v>
      </c>
      <c r="C34" s="19" t="s">
        <v>167</v>
      </c>
    </row>
    <row r="35" spans="1:3" ht="17" x14ac:dyDescent="0.2">
      <c r="A35" s="33" t="s">
        <v>168</v>
      </c>
      <c r="B35" s="19" t="s">
        <v>169</v>
      </c>
      <c r="C35" s="19" t="s">
        <v>170</v>
      </c>
    </row>
    <row r="36" spans="1:3" ht="34" x14ac:dyDescent="0.2">
      <c r="A36" s="33" t="s">
        <v>171</v>
      </c>
      <c r="B36" s="19" t="s">
        <v>172</v>
      </c>
      <c r="C36" s="19" t="s">
        <v>173</v>
      </c>
    </row>
    <row r="38" spans="1:3" ht="20" x14ac:dyDescent="0.2">
      <c r="A38" s="34" t="s">
        <v>174</v>
      </c>
    </row>
    <row r="40" spans="1:3" ht="17" x14ac:dyDescent="0.2">
      <c r="A40" s="33" t="s">
        <v>164</v>
      </c>
      <c r="B40" s="33" t="s">
        <v>152</v>
      </c>
      <c r="C40" s="33" t="s">
        <v>153</v>
      </c>
    </row>
    <row r="41" spans="1:3" ht="34" x14ac:dyDescent="0.2">
      <c r="A41" s="33" t="s">
        <v>175</v>
      </c>
      <c r="B41" s="19" t="s">
        <v>176</v>
      </c>
      <c r="C41" s="19" t="s">
        <v>177</v>
      </c>
    </row>
    <row r="42" spans="1:3" ht="34" x14ac:dyDescent="0.2">
      <c r="A42" s="33" t="s">
        <v>178</v>
      </c>
      <c r="B42" s="19" t="s">
        <v>179</v>
      </c>
      <c r="C42" s="19" t="s">
        <v>180</v>
      </c>
    </row>
    <row r="43" spans="1:3" ht="34" x14ac:dyDescent="0.2">
      <c r="A43" s="33" t="s">
        <v>181</v>
      </c>
      <c r="B43" s="19" t="s">
        <v>182</v>
      </c>
      <c r="C43" s="19" t="s">
        <v>183</v>
      </c>
    </row>
    <row r="45" spans="1:3" ht="20" x14ac:dyDescent="0.2">
      <c r="A45" s="34" t="s">
        <v>184</v>
      </c>
    </row>
    <row r="47" spans="1:3" ht="17" x14ac:dyDescent="0.2">
      <c r="A47" s="33" t="s">
        <v>185</v>
      </c>
      <c r="B47" s="33" t="s">
        <v>152</v>
      </c>
      <c r="C47" s="33" t="s">
        <v>186</v>
      </c>
    </row>
    <row r="48" spans="1:3" ht="34" x14ac:dyDescent="0.2">
      <c r="A48" s="33" t="s">
        <v>187</v>
      </c>
      <c r="B48" s="19" t="s">
        <v>188</v>
      </c>
      <c r="C48" s="19" t="s">
        <v>189</v>
      </c>
    </row>
    <row r="49" spans="1:4" ht="34" x14ac:dyDescent="0.2">
      <c r="A49" s="33" t="s">
        <v>190</v>
      </c>
      <c r="B49" s="19" t="s">
        <v>191</v>
      </c>
      <c r="C49" s="19" t="s">
        <v>192</v>
      </c>
    </row>
    <row r="50" spans="1:4" ht="34" x14ac:dyDescent="0.2">
      <c r="A50" s="33" t="s">
        <v>193</v>
      </c>
      <c r="B50" s="19" t="s">
        <v>194</v>
      </c>
      <c r="C50" s="19" t="s">
        <v>195</v>
      </c>
    </row>
    <row r="53" spans="1:4" ht="50" x14ac:dyDescent="0.2">
      <c r="A53" s="31" t="s">
        <v>196</v>
      </c>
    </row>
    <row r="55" spans="1:4" ht="17" x14ac:dyDescent="0.2">
      <c r="A55" s="33" t="s">
        <v>197</v>
      </c>
    </row>
    <row r="56" spans="1:4" ht="119" x14ac:dyDescent="0.2">
      <c r="A56" s="19" t="s">
        <v>198</v>
      </c>
    </row>
    <row r="58" spans="1:4" ht="40" x14ac:dyDescent="0.2">
      <c r="A58" s="34" t="s">
        <v>199</v>
      </c>
    </row>
    <row r="60" spans="1:4" ht="17" x14ac:dyDescent="0.2">
      <c r="A60" s="33" t="s">
        <v>200</v>
      </c>
      <c r="B60" s="33" t="s">
        <v>201</v>
      </c>
      <c r="C60" s="33" t="s">
        <v>202</v>
      </c>
      <c r="D60" s="33" t="s">
        <v>203</v>
      </c>
    </row>
    <row r="61" spans="1:4" ht="170" x14ac:dyDescent="0.2">
      <c r="A61" s="33" t="s">
        <v>204</v>
      </c>
      <c r="B61" s="19" t="s">
        <v>205</v>
      </c>
      <c r="C61" s="19" t="s">
        <v>206</v>
      </c>
      <c r="D61" s="19" t="s">
        <v>207</v>
      </c>
    </row>
    <row r="62" spans="1:4" ht="136" x14ac:dyDescent="0.2">
      <c r="A62" s="33" t="s">
        <v>208</v>
      </c>
      <c r="B62" s="19" t="s">
        <v>209</v>
      </c>
      <c r="C62" s="19" t="s">
        <v>210</v>
      </c>
      <c r="D62" s="19" t="s">
        <v>211</v>
      </c>
    </row>
    <row r="63" spans="1:4" ht="170" x14ac:dyDescent="0.2">
      <c r="A63" s="33" t="s">
        <v>212</v>
      </c>
      <c r="B63" s="19" t="s">
        <v>213</v>
      </c>
      <c r="C63" s="19" t="s">
        <v>214</v>
      </c>
      <c r="D63" s="19" t="s">
        <v>215</v>
      </c>
    </row>
    <row r="64" spans="1:4" ht="153" x14ac:dyDescent="0.2">
      <c r="A64" s="33" t="s">
        <v>216</v>
      </c>
      <c r="B64" s="19" t="s">
        <v>217</v>
      </c>
      <c r="C64" s="19" t="s">
        <v>218</v>
      </c>
      <c r="D64" s="19" t="s">
        <v>219</v>
      </c>
    </row>
    <row r="65" spans="1:4" ht="136" x14ac:dyDescent="0.2">
      <c r="A65" s="33" t="s">
        <v>220</v>
      </c>
      <c r="B65" s="19" t="s">
        <v>221</v>
      </c>
      <c r="C65" s="19" t="s">
        <v>222</v>
      </c>
      <c r="D65" s="19" t="s">
        <v>223</v>
      </c>
    </row>
    <row r="67" spans="1:4" ht="20" x14ac:dyDescent="0.2">
      <c r="A67" s="34" t="s">
        <v>224</v>
      </c>
    </row>
    <row r="69" spans="1:4" ht="51" x14ac:dyDescent="0.2">
      <c r="A69" s="33" t="s">
        <v>225</v>
      </c>
    </row>
    <row r="71" spans="1:4" ht="17" x14ac:dyDescent="0.2">
      <c r="A71" s="19" t="s">
        <v>226</v>
      </c>
    </row>
    <row r="73" spans="1:4" ht="34" x14ac:dyDescent="0.2">
      <c r="A73" s="33" t="s">
        <v>227</v>
      </c>
    </row>
    <row r="74" spans="1:4" ht="51" x14ac:dyDescent="0.2">
      <c r="A74" s="33" t="s">
        <v>228</v>
      </c>
    </row>
    <row r="75" spans="1:4" ht="51" x14ac:dyDescent="0.2">
      <c r="A75" s="33" t="s">
        <v>229</v>
      </c>
    </row>
    <row r="77" spans="1:4" ht="17" x14ac:dyDescent="0.2">
      <c r="A77" s="33" t="s">
        <v>230</v>
      </c>
    </row>
    <row r="78" spans="1:4" ht="85" x14ac:dyDescent="0.2">
      <c r="A78" s="19" t="s">
        <v>231</v>
      </c>
    </row>
    <row r="80" spans="1:4" ht="25" x14ac:dyDescent="0.2">
      <c r="A80" s="31" t="s">
        <v>232</v>
      </c>
    </row>
    <row r="82" spans="1:1" ht="119" x14ac:dyDescent="0.2">
      <c r="A82" s="33" t="s">
        <v>233</v>
      </c>
    </row>
    <row r="84" spans="1:1" ht="17" x14ac:dyDescent="0.2">
      <c r="A84" s="33" t="s">
        <v>234</v>
      </c>
    </row>
    <row r="86" spans="1:1" ht="34" x14ac:dyDescent="0.2">
      <c r="A86" s="19" t="s">
        <v>235</v>
      </c>
    </row>
    <row r="87" spans="1:1" ht="34" x14ac:dyDescent="0.2">
      <c r="A87" s="19" t="s">
        <v>236</v>
      </c>
    </row>
    <row r="88" spans="1:1" ht="34" x14ac:dyDescent="0.2">
      <c r="A88" s="19" t="s">
        <v>237</v>
      </c>
    </row>
    <row r="90" spans="1:1" ht="17" x14ac:dyDescent="0.2">
      <c r="A90" s="32" t="s">
        <v>238</v>
      </c>
    </row>
    <row r="91" spans="1:1" ht="17" x14ac:dyDescent="0.2">
      <c r="A91" s="33" t="s">
        <v>239</v>
      </c>
    </row>
    <row r="92" spans="1:1" ht="51" x14ac:dyDescent="0.2">
      <c r="A92" s="33" t="s">
        <v>240</v>
      </c>
    </row>
    <row r="93" spans="1:1" ht="51" x14ac:dyDescent="0.2">
      <c r="A93" s="33" t="s">
        <v>241</v>
      </c>
    </row>
  </sheetData>
  <hyperlinks>
    <hyperlink ref="A7" r:id="rId1" display="https://github.com/paulrekaris/TGA-COVID19-Vaccine-Safety-Monitoring-Audit/blob/main/analysis/ISO_19011_Management_Systems_Audit_Checklist.md" xr:uid="{AE7DFB3D-A219-D34C-8AF5-0187FD13EE97}"/>
    <hyperlink ref="A90" r:id="rId2" location="burden-of-proof-and-accountability-framework" display="https://github.com/paulrekaris/TGA-COVID19-Vaccine-Safety-Monitoring-Audit/blob/main/analysis/ISO_19011_Management_Systems_Audit_Checklist.md - burden-of-proof-and-accountability-framework" xr:uid="{A99B1CD3-9883-304B-AACC-9CB44E0D3BDC}"/>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CB073-D11E-E345-B397-1457A195EB3C}">
  <dimension ref="A1:E139"/>
  <sheetViews>
    <sheetView tabSelected="1" topLeftCell="A20" workbookViewId="0">
      <selection activeCell="A5" sqref="A5"/>
    </sheetView>
  </sheetViews>
  <sheetFormatPr baseColWidth="10" defaultRowHeight="16" x14ac:dyDescent="0.2"/>
  <cols>
    <col min="1" max="1" width="51.6640625" style="19" customWidth="1"/>
    <col min="2" max="2" width="28.83203125" style="25" customWidth="1"/>
    <col min="3" max="3" width="35.33203125" style="19" customWidth="1"/>
    <col min="4" max="4" width="33.5" style="19" customWidth="1"/>
    <col min="5" max="5" width="38.33203125" style="19" customWidth="1"/>
    <col min="6" max="16384" width="10.83203125" style="19"/>
  </cols>
  <sheetData>
    <row r="1" spans="1:5" ht="32" x14ac:dyDescent="0.2">
      <c r="A1" s="29" t="s">
        <v>370</v>
      </c>
    </row>
    <row r="3" spans="1:5" ht="25" x14ac:dyDescent="0.2">
      <c r="A3" s="31" t="s">
        <v>243</v>
      </c>
    </row>
    <row r="5" spans="1:5" ht="51" x14ac:dyDescent="0.2">
      <c r="A5" s="19" t="s">
        <v>244</v>
      </c>
    </row>
    <row r="9" spans="1:5" ht="25" x14ac:dyDescent="0.2">
      <c r="A9" s="31" t="s">
        <v>245</v>
      </c>
    </row>
    <row r="11" spans="1:5" ht="17" x14ac:dyDescent="0.2">
      <c r="A11" s="33" t="s">
        <v>246</v>
      </c>
      <c r="B11" s="36" t="s">
        <v>247</v>
      </c>
      <c r="C11" s="33" t="s">
        <v>248</v>
      </c>
      <c r="D11" s="33" t="s">
        <v>249</v>
      </c>
      <c r="E11" s="33" t="s">
        <v>250</v>
      </c>
    </row>
    <row r="12" spans="1:5" ht="153" x14ac:dyDescent="0.2">
      <c r="A12" s="33" t="s">
        <v>11</v>
      </c>
      <c r="B12" s="25" t="s">
        <v>251</v>
      </c>
      <c r="C12" s="19" t="s">
        <v>252</v>
      </c>
      <c r="D12" s="19" t="s">
        <v>253</v>
      </c>
      <c r="E12" s="33" t="s">
        <v>254</v>
      </c>
    </row>
    <row r="13" spans="1:5" ht="204" x14ac:dyDescent="0.2">
      <c r="A13" s="33" t="s">
        <v>255</v>
      </c>
      <c r="B13" s="25" t="s">
        <v>256</v>
      </c>
      <c r="C13" s="19" t="s">
        <v>257</v>
      </c>
      <c r="D13" s="19" t="s">
        <v>258</v>
      </c>
      <c r="E13" s="33" t="s">
        <v>259</v>
      </c>
    </row>
    <row r="14" spans="1:5" ht="136" x14ac:dyDescent="0.2">
      <c r="A14" s="33" t="s">
        <v>43</v>
      </c>
      <c r="B14" s="25" t="s">
        <v>260</v>
      </c>
      <c r="C14" s="19" t="s">
        <v>261</v>
      </c>
      <c r="D14" s="19" t="s">
        <v>262</v>
      </c>
      <c r="E14" s="33" t="s">
        <v>263</v>
      </c>
    </row>
    <row r="16" spans="1:5" ht="25" x14ac:dyDescent="0.2">
      <c r="A16" s="31" t="s">
        <v>264</v>
      </c>
    </row>
    <row r="18" spans="1:4" ht="17" x14ac:dyDescent="0.2">
      <c r="A18" s="33" t="s">
        <v>265</v>
      </c>
      <c r="B18" s="37" t="s">
        <v>266</v>
      </c>
      <c r="C18" s="33" t="s">
        <v>267</v>
      </c>
    </row>
    <row r="19" spans="1:4" ht="119" x14ac:dyDescent="0.2">
      <c r="A19" s="33" t="s">
        <v>268</v>
      </c>
      <c r="B19" s="20" t="s">
        <v>269</v>
      </c>
      <c r="C19" s="19" t="s">
        <v>270</v>
      </c>
    </row>
    <row r="20" spans="1:4" ht="153" x14ac:dyDescent="0.2">
      <c r="A20" s="33" t="s">
        <v>271</v>
      </c>
      <c r="B20" s="20" t="s">
        <v>272</v>
      </c>
      <c r="C20" s="33" t="s">
        <v>273</v>
      </c>
    </row>
    <row r="21" spans="1:4" ht="102" x14ac:dyDescent="0.2">
      <c r="A21" s="33" t="s">
        <v>274</v>
      </c>
      <c r="B21" s="20" t="s">
        <v>275</v>
      </c>
      <c r="C21" s="33" t="s">
        <v>276</v>
      </c>
    </row>
    <row r="22" spans="1:4" ht="102" x14ac:dyDescent="0.2">
      <c r="A22" s="33" t="s">
        <v>277</v>
      </c>
      <c r="B22" s="20" t="s">
        <v>278</v>
      </c>
      <c r="C22" s="19" t="s">
        <v>279</v>
      </c>
    </row>
    <row r="25" spans="1:4" ht="25" x14ac:dyDescent="0.2">
      <c r="A25" s="31" t="s">
        <v>280</v>
      </c>
    </row>
    <row r="27" spans="1:4" ht="17" x14ac:dyDescent="0.2">
      <c r="A27" s="33" t="s">
        <v>281</v>
      </c>
    </row>
    <row r="29" spans="1:4" ht="19" x14ac:dyDescent="0.2">
      <c r="A29" s="40" t="s">
        <v>282</v>
      </c>
      <c r="B29" s="41"/>
      <c r="C29" s="39"/>
      <c r="D29" s="39"/>
    </row>
    <row r="30" spans="1:4" ht="19" x14ac:dyDescent="0.2">
      <c r="A30" s="40" t="s">
        <v>283</v>
      </c>
      <c r="B30" s="41"/>
      <c r="C30" s="39"/>
      <c r="D30" s="39"/>
    </row>
    <row r="31" spans="1:4" ht="19" x14ac:dyDescent="0.2">
      <c r="A31" s="40" t="s">
        <v>284</v>
      </c>
      <c r="B31" s="41"/>
      <c r="C31" s="39"/>
      <c r="D31" s="39"/>
    </row>
    <row r="32" spans="1:4" ht="19" x14ac:dyDescent="0.2">
      <c r="A32" s="40" t="s">
        <v>285</v>
      </c>
      <c r="B32" s="41"/>
      <c r="C32" s="39"/>
      <c r="D32" s="39"/>
    </row>
    <row r="33" spans="1:4" ht="19" x14ac:dyDescent="0.2">
      <c r="A33" s="40" t="s">
        <v>286</v>
      </c>
      <c r="B33" s="41"/>
      <c r="C33" s="39"/>
      <c r="D33" s="39"/>
    </row>
    <row r="34" spans="1:4" ht="19" x14ac:dyDescent="0.2">
      <c r="A34" s="40" t="s">
        <v>287</v>
      </c>
      <c r="B34" s="41"/>
      <c r="C34" s="39"/>
      <c r="D34" s="39"/>
    </row>
    <row r="35" spans="1:4" ht="19" x14ac:dyDescent="0.2">
      <c r="A35" s="40" t="s">
        <v>288</v>
      </c>
      <c r="B35" s="41"/>
      <c r="C35" s="39"/>
      <c r="D35" s="39"/>
    </row>
    <row r="36" spans="1:4" ht="19" x14ac:dyDescent="0.2">
      <c r="A36" s="40" t="s">
        <v>289</v>
      </c>
      <c r="B36" s="41"/>
      <c r="C36" s="39"/>
      <c r="D36" s="39"/>
    </row>
    <row r="37" spans="1:4" ht="19" x14ac:dyDescent="0.2">
      <c r="A37" s="40" t="s">
        <v>290</v>
      </c>
      <c r="B37" s="41"/>
      <c r="C37" s="39"/>
      <c r="D37" s="39"/>
    </row>
    <row r="38" spans="1:4" ht="19" x14ac:dyDescent="0.2">
      <c r="A38" s="40" t="s">
        <v>291</v>
      </c>
      <c r="B38" s="41"/>
      <c r="C38" s="39"/>
      <c r="D38" s="39"/>
    </row>
    <row r="39" spans="1:4" ht="19" x14ac:dyDescent="0.2">
      <c r="A39" s="40" t="s">
        <v>292</v>
      </c>
      <c r="B39" s="41"/>
      <c r="C39" s="39"/>
      <c r="D39" s="39"/>
    </row>
    <row r="40" spans="1:4" ht="19" x14ac:dyDescent="0.2">
      <c r="A40" s="40" t="s">
        <v>293</v>
      </c>
      <c r="B40" s="41"/>
      <c r="C40" s="39"/>
      <c r="D40" s="39"/>
    </row>
    <row r="41" spans="1:4" ht="19" x14ac:dyDescent="0.2">
      <c r="A41" s="40" t="s">
        <v>294</v>
      </c>
      <c r="B41" s="41"/>
      <c r="C41" s="39"/>
      <c r="D41" s="39"/>
    </row>
    <row r="42" spans="1:4" ht="19" x14ac:dyDescent="0.2">
      <c r="A42" s="40" t="s">
        <v>295</v>
      </c>
      <c r="B42" s="41"/>
      <c r="C42" s="39"/>
      <c r="D42" s="39"/>
    </row>
    <row r="43" spans="1:4" ht="19" x14ac:dyDescent="0.2">
      <c r="A43" s="40" t="s">
        <v>296</v>
      </c>
      <c r="B43" s="41"/>
      <c r="C43" s="39"/>
      <c r="D43" s="39"/>
    </row>
    <row r="45" spans="1:4" ht="25" x14ac:dyDescent="0.2">
      <c r="A45" s="31" t="s">
        <v>297</v>
      </c>
    </row>
    <row r="46" spans="1:4" ht="17" x14ac:dyDescent="0.2">
      <c r="A46" s="33" t="s">
        <v>298</v>
      </c>
    </row>
    <row r="48" spans="1:4" ht="34" x14ac:dyDescent="0.2">
      <c r="A48" s="33" t="s">
        <v>299</v>
      </c>
      <c r="B48" s="37" t="s">
        <v>300</v>
      </c>
      <c r="C48" s="33" t="s">
        <v>301</v>
      </c>
      <c r="D48" s="33" t="s">
        <v>302</v>
      </c>
    </row>
    <row r="49" spans="1:4" ht="51" x14ac:dyDescent="0.2">
      <c r="A49" s="33" t="s">
        <v>303</v>
      </c>
      <c r="B49" s="20" t="s">
        <v>304</v>
      </c>
      <c r="C49" s="19" t="s">
        <v>305</v>
      </c>
      <c r="D49" s="19" t="s">
        <v>306</v>
      </c>
    </row>
    <row r="50" spans="1:4" ht="34" x14ac:dyDescent="0.2">
      <c r="A50" s="33" t="s">
        <v>307</v>
      </c>
      <c r="B50" s="20" t="s">
        <v>308</v>
      </c>
      <c r="C50" s="19" t="s">
        <v>309</v>
      </c>
      <c r="D50" s="19" t="s">
        <v>310</v>
      </c>
    </row>
    <row r="51" spans="1:4" ht="68" x14ac:dyDescent="0.2">
      <c r="A51" s="33" t="s">
        <v>311</v>
      </c>
      <c r="B51" s="20" t="s">
        <v>312</v>
      </c>
      <c r="C51" s="19" t="s">
        <v>313</v>
      </c>
      <c r="D51" s="19" t="s">
        <v>314</v>
      </c>
    </row>
    <row r="52" spans="1:4" ht="85" x14ac:dyDescent="0.2">
      <c r="A52" s="33" t="s">
        <v>315</v>
      </c>
      <c r="B52" s="20" t="s">
        <v>316</v>
      </c>
      <c r="C52" s="19" t="s">
        <v>317</v>
      </c>
      <c r="D52" s="19" t="s">
        <v>318</v>
      </c>
    </row>
    <row r="53" spans="1:4" ht="68" x14ac:dyDescent="0.2">
      <c r="A53" s="33" t="s">
        <v>319</v>
      </c>
      <c r="B53" s="20" t="s">
        <v>320</v>
      </c>
      <c r="C53" s="19" t="s">
        <v>321</v>
      </c>
      <c r="D53" s="19" t="s">
        <v>322</v>
      </c>
    </row>
    <row r="55" spans="1:4" ht="25" x14ac:dyDescent="0.2">
      <c r="A55" s="31" t="s">
        <v>323</v>
      </c>
    </row>
    <row r="57" spans="1:4" ht="17" x14ac:dyDescent="0.2">
      <c r="A57" s="33" t="s">
        <v>324</v>
      </c>
    </row>
    <row r="59" spans="1:4" ht="17" x14ac:dyDescent="0.2">
      <c r="A59" s="33" t="s">
        <v>325</v>
      </c>
    </row>
    <row r="61" spans="1:4" x14ac:dyDescent="0.2">
      <c r="A61" s="42" t="s">
        <v>326</v>
      </c>
      <c r="B61" s="38"/>
    </row>
    <row r="62" spans="1:4" x14ac:dyDescent="0.2">
      <c r="A62" s="42" t="s">
        <v>327</v>
      </c>
      <c r="B62" s="38"/>
    </row>
    <row r="63" spans="1:4" x14ac:dyDescent="0.2">
      <c r="A63" s="42" t="s">
        <v>328</v>
      </c>
      <c r="B63" s="38"/>
    </row>
    <row r="64" spans="1:4" x14ac:dyDescent="0.2">
      <c r="A64" s="30"/>
      <c r="B64" s="38"/>
    </row>
    <row r="65" spans="1:2" x14ac:dyDescent="0.2">
      <c r="A65" s="42" t="s">
        <v>329</v>
      </c>
      <c r="B65" s="38"/>
    </row>
    <row r="66" spans="1:2" x14ac:dyDescent="0.2">
      <c r="A66" s="30"/>
      <c r="B66" s="38"/>
    </row>
    <row r="67" spans="1:2" x14ac:dyDescent="0.2">
      <c r="A67" s="30" t="s">
        <v>330</v>
      </c>
      <c r="B67" s="38"/>
    </row>
    <row r="68" spans="1:2" x14ac:dyDescent="0.2">
      <c r="A68" s="30" t="s">
        <v>331</v>
      </c>
      <c r="B68" s="38"/>
    </row>
    <row r="69" spans="1:2" x14ac:dyDescent="0.2">
      <c r="A69" s="30" t="s">
        <v>332</v>
      </c>
      <c r="B69" s="38"/>
    </row>
    <row r="70" spans="1:2" x14ac:dyDescent="0.2">
      <c r="A70" s="30"/>
      <c r="B70" s="38"/>
    </row>
    <row r="71" spans="1:2" ht="24" x14ac:dyDescent="0.2">
      <c r="A71" s="43" t="s">
        <v>333</v>
      </c>
      <c r="B71" s="38"/>
    </row>
    <row r="72" spans="1:2" x14ac:dyDescent="0.2">
      <c r="A72" s="30"/>
      <c r="B72" s="38"/>
    </row>
    <row r="73" spans="1:2" ht="19" x14ac:dyDescent="0.2">
      <c r="A73" s="44" t="s">
        <v>334</v>
      </c>
      <c r="B73" s="38"/>
    </row>
    <row r="74" spans="1:2" x14ac:dyDescent="0.2">
      <c r="A74" s="30"/>
      <c r="B74" s="38"/>
    </row>
    <row r="75" spans="1:2" x14ac:dyDescent="0.2">
      <c r="A75" s="42" t="s">
        <v>335</v>
      </c>
      <c r="B75" s="38"/>
    </row>
    <row r="76" spans="1:2" x14ac:dyDescent="0.2">
      <c r="A76" s="30"/>
      <c r="B76" s="38"/>
    </row>
    <row r="77" spans="1:2" x14ac:dyDescent="0.2">
      <c r="A77" s="42" t="s">
        <v>336</v>
      </c>
      <c r="B77" s="38"/>
    </row>
    <row r="78" spans="1:2" x14ac:dyDescent="0.2">
      <c r="A78" s="30"/>
      <c r="B78" s="38"/>
    </row>
    <row r="79" spans="1:2" x14ac:dyDescent="0.2">
      <c r="A79" s="30" t="s">
        <v>337</v>
      </c>
      <c r="B79" s="38"/>
    </row>
    <row r="80" spans="1:2" x14ac:dyDescent="0.2">
      <c r="A80" s="30" t="s">
        <v>338</v>
      </c>
      <c r="B80" s="38"/>
    </row>
    <row r="81" spans="1:2" x14ac:dyDescent="0.2">
      <c r="A81" s="30" t="s">
        <v>339</v>
      </c>
      <c r="B81" s="38"/>
    </row>
    <row r="82" spans="1:2" x14ac:dyDescent="0.2">
      <c r="A82" s="30"/>
      <c r="B82" s="38"/>
    </row>
    <row r="83" spans="1:2" x14ac:dyDescent="0.2">
      <c r="A83" s="42" t="s">
        <v>340</v>
      </c>
      <c r="B83" s="38"/>
    </row>
    <row r="84" spans="1:2" x14ac:dyDescent="0.2">
      <c r="A84" s="30"/>
      <c r="B84" s="38"/>
    </row>
    <row r="85" spans="1:2" x14ac:dyDescent="0.2">
      <c r="A85" s="42" t="s">
        <v>341</v>
      </c>
      <c r="B85" s="38"/>
    </row>
    <row r="86" spans="1:2" x14ac:dyDescent="0.2">
      <c r="A86" s="30"/>
      <c r="B86" s="38"/>
    </row>
    <row r="87" spans="1:2" x14ac:dyDescent="0.2">
      <c r="A87" s="30"/>
      <c r="B87" s="38"/>
    </row>
    <row r="88" spans="1:2" x14ac:dyDescent="0.2">
      <c r="A88" s="30"/>
      <c r="B88" s="38"/>
    </row>
    <row r="89" spans="1:2" ht="19" x14ac:dyDescent="0.2">
      <c r="A89" s="44" t="s">
        <v>342</v>
      </c>
      <c r="B89" s="38"/>
    </row>
    <row r="90" spans="1:2" x14ac:dyDescent="0.2">
      <c r="A90" s="30"/>
      <c r="B90" s="38"/>
    </row>
    <row r="91" spans="1:2" x14ac:dyDescent="0.2">
      <c r="A91" s="42" t="s">
        <v>343</v>
      </c>
      <c r="B91" s="38"/>
    </row>
    <row r="92" spans="1:2" x14ac:dyDescent="0.2">
      <c r="A92" s="30"/>
      <c r="B92" s="38"/>
    </row>
    <row r="93" spans="1:2" x14ac:dyDescent="0.2">
      <c r="A93" s="42" t="s">
        <v>336</v>
      </c>
      <c r="B93" s="38"/>
    </row>
    <row r="94" spans="1:2" x14ac:dyDescent="0.2">
      <c r="A94" s="30"/>
      <c r="B94" s="38"/>
    </row>
    <row r="95" spans="1:2" x14ac:dyDescent="0.2">
      <c r="A95" s="30" t="s">
        <v>344</v>
      </c>
      <c r="B95" s="38"/>
    </row>
    <row r="96" spans="1:2" x14ac:dyDescent="0.2">
      <c r="A96" s="30" t="s">
        <v>345</v>
      </c>
      <c r="B96" s="38"/>
    </row>
    <row r="97" spans="1:2" x14ac:dyDescent="0.2">
      <c r="A97" s="30" t="s">
        <v>346</v>
      </c>
      <c r="B97" s="38"/>
    </row>
    <row r="98" spans="1:2" x14ac:dyDescent="0.2">
      <c r="A98" s="30"/>
      <c r="B98" s="38"/>
    </row>
    <row r="99" spans="1:2" x14ac:dyDescent="0.2">
      <c r="A99" s="42" t="s">
        <v>347</v>
      </c>
      <c r="B99" s="38"/>
    </row>
    <row r="100" spans="1:2" x14ac:dyDescent="0.2">
      <c r="A100" s="30"/>
    </row>
    <row r="101" spans="1:2" x14ac:dyDescent="0.2">
      <c r="A101" s="30" t="s">
        <v>348</v>
      </c>
    </row>
    <row r="102" spans="1:2" x14ac:dyDescent="0.2">
      <c r="A102" s="30" t="s">
        <v>349</v>
      </c>
    </row>
    <row r="103" spans="1:2" x14ac:dyDescent="0.2">
      <c r="A103" s="30" t="s">
        <v>350</v>
      </c>
    </row>
    <row r="104" spans="1:2" x14ac:dyDescent="0.2">
      <c r="A104" s="30" t="s">
        <v>351</v>
      </c>
    </row>
    <row r="105" spans="1:2" x14ac:dyDescent="0.2">
      <c r="A105" s="30"/>
    </row>
    <row r="106" spans="1:2" x14ac:dyDescent="0.2">
      <c r="A106" s="42" t="s">
        <v>352</v>
      </c>
    </row>
    <row r="107" spans="1:2" x14ac:dyDescent="0.2">
      <c r="A107" s="30"/>
    </row>
    <row r="108" spans="1:2" x14ac:dyDescent="0.2">
      <c r="A108" s="42" t="s">
        <v>353</v>
      </c>
    </row>
    <row r="109" spans="1:2" x14ac:dyDescent="0.2">
      <c r="A109" s="30"/>
    </row>
    <row r="110" spans="1:2" x14ac:dyDescent="0.2">
      <c r="A110" s="30"/>
    </row>
    <row r="111" spans="1:2" x14ac:dyDescent="0.2">
      <c r="A111" s="30"/>
    </row>
    <row r="112" spans="1:2" ht="19" x14ac:dyDescent="0.2">
      <c r="A112" s="44" t="s">
        <v>354</v>
      </c>
    </row>
    <row r="113" spans="1:1" x14ac:dyDescent="0.2">
      <c r="A113" s="30"/>
    </row>
    <row r="114" spans="1:1" x14ac:dyDescent="0.2">
      <c r="A114" s="42" t="s">
        <v>355</v>
      </c>
    </row>
    <row r="115" spans="1:1" x14ac:dyDescent="0.2">
      <c r="A115" s="30"/>
    </row>
    <row r="116" spans="1:1" x14ac:dyDescent="0.2">
      <c r="A116" s="42" t="s">
        <v>356</v>
      </c>
    </row>
    <row r="117" spans="1:1" x14ac:dyDescent="0.2">
      <c r="A117" s="30"/>
    </row>
    <row r="118" spans="1:1" x14ac:dyDescent="0.2">
      <c r="A118" s="30" t="s">
        <v>357</v>
      </c>
    </row>
    <row r="119" spans="1:1" x14ac:dyDescent="0.2">
      <c r="A119" s="30" t="s">
        <v>358</v>
      </c>
    </row>
    <row r="120" spans="1:1" x14ac:dyDescent="0.2">
      <c r="A120" s="30" t="s">
        <v>359</v>
      </c>
    </row>
    <row r="121" spans="1:1" x14ac:dyDescent="0.2">
      <c r="A121" s="30"/>
    </row>
    <row r="122" spans="1:1" x14ac:dyDescent="0.2">
      <c r="A122" s="42" t="s">
        <v>360</v>
      </c>
    </row>
    <row r="123" spans="1:1" x14ac:dyDescent="0.2">
      <c r="A123" s="30"/>
    </row>
    <row r="124" spans="1:1" x14ac:dyDescent="0.2">
      <c r="A124" s="30" t="s">
        <v>361</v>
      </c>
    </row>
    <row r="125" spans="1:1" x14ac:dyDescent="0.2">
      <c r="A125" s="30" t="s">
        <v>362</v>
      </c>
    </row>
    <row r="126" spans="1:1" x14ac:dyDescent="0.2">
      <c r="A126" s="30" t="s">
        <v>363</v>
      </c>
    </row>
    <row r="127" spans="1:1" x14ac:dyDescent="0.2">
      <c r="A127" s="30" t="s">
        <v>364</v>
      </c>
    </row>
    <row r="128" spans="1:1" x14ac:dyDescent="0.2">
      <c r="A128" s="30" t="s">
        <v>365</v>
      </c>
    </row>
    <row r="129" spans="1:1" x14ac:dyDescent="0.2">
      <c r="A129" s="30"/>
    </row>
    <row r="130" spans="1:1" x14ac:dyDescent="0.2">
      <c r="A130" s="42" t="s">
        <v>366</v>
      </c>
    </row>
    <row r="131" spans="1:1" x14ac:dyDescent="0.2">
      <c r="A131" s="30"/>
    </row>
    <row r="132" spans="1:1" x14ac:dyDescent="0.2">
      <c r="A132" s="42" t="s">
        <v>367</v>
      </c>
    </row>
    <row r="133" spans="1:1" x14ac:dyDescent="0.2">
      <c r="A133" s="30"/>
    </row>
    <row r="134" spans="1:1" x14ac:dyDescent="0.2">
      <c r="A134" s="30"/>
    </row>
    <row r="135" spans="1:1" x14ac:dyDescent="0.2">
      <c r="A135" s="30"/>
    </row>
    <row r="136" spans="1:1" x14ac:dyDescent="0.2">
      <c r="A136" s="42" t="s">
        <v>368</v>
      </c>
    </row>
    <row r="137" spans="1:1" x14ac:dyDescent="0.2">
      <c r="A137" s="30"/>
    </row>
    <row r="138" spans="1:1" x14ac:dyDescent="0.2">
      <c r="A138" s="42" t="s">
        <v>239</v>
      </c>
    </row>
    <row r="139" spans="1:1" x14ac:dyDescent="0.2">
      <c r="A139" s="42" t="s">
        <v>369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70A22-273C-704E-87A8-5748ED730E67}">
  <sheetPr>
    <pageSetUpPr fitToPage="1"/>
  </sheetPr>
  <dimension ref="A1:J22"/>
  <sheetViews>
    <sheetView showGridLines="0" zoomScale="57" zoomScaleNormal="57" workbookViewId="0">
      <selection activeCell="E17" sqref="E17"/>
    </sheetView>
  </sheetViews>
  <sheetFormatPr baseColWidth="10" defaultColWidth="8.33203125" defaultRowHeight="20" customHeight="1" x14ac:dyDescent="0.2"/>
  <cols>
    <col min="1" max="1" width="18.5" style="45" bestFit="1" customWidth="1"/>
    <col min="2" max="2" width="27.33203125" style="48" customWidth="1"/>
    <col min="3" max="3" width="43.5" style="48" customWidth="1"/>
    <col min="4" max="4" width="27.5" style="45" customWidth="1"/>
    <col min="5" max="5" width="100.1640625" style="45" bestFit="1" customWidth="1"/>
    <col min="6" max="6" width="88.33203125" style="45" customWidth="1"/>
    <col min="7" max="7" width="77.1640625" style="48" customWidth="1"/>
    <col min="8" max="8" width="93.5" style="45" customWidth="1"/>
    <col min="9" max="9" width="93" style="45" customWidth="1"/>
    <col min="10" max="10" width="12.33203125" style="45" customWidth="1"/>
    <col min="11" max="11" width="8.33203125" style="45" customWidth="1"/>
    <col min="12" max="16384" width="8.33203125" style="45"/>
  </cols>
  <sheetData>
    <row r="1" spans="1:10" ht="27.75" customHeight="1" x14ac:dyDescent="0.2">
      <c r="A1" s="55" t="s">
        <v>418</v>
      </c>
      <c r="B1" s="55"/>
      <c r="C1" s="55"/>
      <c r="D1" s="55"/>
      <c r="E1" s="55"/>
      <c r="F1" s="55"/>
      <c r="G1" s="55"/>
      <c r="H1" s="55"/>
      <c r="I1" s="55"/>
      <c r="J1" s="55"/>
    </row>
    <row r="2" spans="1:10" s="46" customFormat="1" ht="20.25" customHeight="1" x14ac:dyDescent="0.2">
      <c r="A2" s="50" t="s">
        <v>375</v>
      </c>
      <c r="B2" s="49" t="s">
        <v>1</v>
      </c>
      <c r="C2" s="49" t="s">
        <v>376</v>
      </c>
      <c r="D2" s="50" t="s">
        <v>3</v>
      </c>
      <c r="E2" s="50" t="s">
        <v>377</v>
      </c>
      <c r="F2" s="50" t="s">
        <v>378</v>
      </c>
      <c r="G2" s="49" t="s">
        <v>7</v>
      </c>
      <c r="H2" s="50" t="s">
        <v>379</v>
      </c>
      <c r="I2" s="50" t="s">
        <v>8</v>
      </c>
      <c r="J2" s="50" t="s">
        <v>380</v>
      </c>
    </row>
    <row r="3" spans="1:10" s="47" customFormat="1" ht="51" x14ac:dyDescent="0.2">
      <c r="A3" s="53">
        <v>1.1000000000000001</v>
      </c>
      <c r="B3" s="51" t="s">
        <v>9</v>
      </c>
      <c r="C3" s="51" t="s">
        <v>381</v>
      </c>
      <c r="D3" s="52" t="s">
        <v>382</v>
      </c>
      <c r="E3" s="52" t="s">
        <v>12</v>
      </c>
      <c r="F3" s="51" t="s">
        <v>13</v>
      </c>
      <c r="G3" s="51" t="s">
        <v>14</v>
      </c>
      <c r="H3" s="51" t="s">
        <v>383</v>
      </c>
      <c r="I3" s="51" t="s">
        <v>15</v>
      </c>
      <c r="J3" s="52" t="s">
        <v>384</v>
      </c>
    </row>
    <row r="4" spans="1:10" s="47" customFormat="1" ht="51" x14ac:dyDescent="0.2">
      <c r="A4" s="53">
        <v>1.2</v>
      </c>
      <c r="B4" s="51" t="s">
        <v>16</v>
      </c>
      <c r="C4" s="51" t="s">
        <v>381</v>
      </c>
      <c r="D4" s="52" t="s">
        <v>382</v>
      </c>
      <c r="E4" s="52" t="s">
        <v>17</v>
      </c>
      <c r="F4" s="51" t="s">
        <v>18</v>
      </c>
      <c r="G4" s="51" t="s">
        <v>19</v>
      </c>
      <c r="H4" s="51" t="s">
        <v>385</v>
      </c>
      <c r="I4" s="51" t="s">
        <v>20</v>
      </c>
      <c r="J4" s="52" t="s">
        <v>384</v>
      </c>
    </row>
    <row r="5" spans="1:10" s="47" customFormat="1" ht="51" x14ac:dyDescent="0.2">
      <c r="A5" s="53">
        <v>1.3</v>
      </c>
      <c r="B5" s="51" t="s">
        <v>21</v>
      </c>
      <c r="C5" s="51" t="s">
        <v>381</v>
      </c>
      <c r="D5" s="52" t="s">
        <v>386</v>
      </c>
      <c r="E5" s="52" t="s">
        <v>23</v>
      </c>
      <c r="F5" s="51" t="s">
        <v>24</v>
      </c>
      <c r="G5" s="51" t="s">
        <v>25</v>
      </c>
      <c r="H5" s="51" t="s">
        <v>387</v>
      </c>
      <c r="I5" s="51" t="s">
        <v>26</v>
      </c>
      <c r="J5" s="52" t="s">
        <v>388</v>
      </c>
    </row>
    <row r="6" spans="1:10" s="47" customFormat="1" ht="68" x14ac:dyDescent="0.2">
      <c r="A6" s="53">
        <v>1.4</v>
      </c>
      <c r="B6" s="51" t="s">
        <v>27</v>
      </c>
      <c r="C6" s="51" t="s">
        <v>381</v>
      </c>
      <c r="D6" s="52" t="s">
        <v>386</v>
      </c>
      <c r="E6" s="52" t="s">
        <v>28</v>
      </c>
      <c r="F6" s="51" t="s">
        <v>29</v>
      </c>
      <c r="G6" s="51" t="s">
        <v>30</v>
      </c>
      <c r="H6" s="51" t="s">
        <v>389</v>
      </c>
      <c r="I6" s="51" t="s">
        <v>31</v>
      </c>
      <c r="J6" s="52" t="s">
        <v>388</v>
      </c>
    </row>
    <row r="7" spans="1:10" s="47" customFormat="1" ht="51" x14ac:dyDescent="0.2">
      <c r="A7" s="53">
        <v>1.5</v>
      </c>
      <c r="B7" s="51" t="s">
        <v>32</v>
      </c>
      <c r="C7" s="51" t="s">
        <v>381</v>
      </c>
      <c r="D7" s="52" t="s">
        <v>386</v>
      </c>
      <c r="E7" s="52" t="s">
        <v>28</v>
      </c>
      <c r="F7" s="51" t="s">
        <v>33</v>
      </c>
      <c r="G7" s="51" t="s">
        <v>34</v>
      </c>
      <c r="H7" s="51" t="s">
        <v>390</v>
      </c>
      <c r="I7" s="51" t="s">
        <v>35</v>
      </c>
      <c r="J7" s="52" t="s">
        <v>388</v>
      </c>
    </row>
    <row r="8" spans="1:10" s="47" customFormat="1" ht="51" x14ac:dyDescent="0.2">
      <c r="A8" s="53">
        <v>2.1</v>
      </c>
      <c r="B8" s="51" t="s">
        <v>36</v>
      </c>
      <c r="C8" s="51" t="s">
        <v>391</v>
      </c>
      <c r="D8" s="52" t="s">
        <v>386</v>
      </c>
      <c r="E8" s="52" t="s">
        <v>38</v>
      </c>
      <c r="F8" s="51" t="s">
        <v>39</v>
      </c>
      <c r="G8" s="51" t="s">
        <v>40</v>
      </c>
      <c r="H8" s="51" t="s">
        <v>392</v>
      </c>
      <c r="I8" s="51" t="s">
        <v>41</v>
      </c>
      <c r="J8" s="52" t="s">
        <v>393</v>
      </c>
    </row>
    <row r="9" spans="1:10" s="47" customFormat="1" ht="51" x14ac:dyDescent="0.2">
      <c r="A9" s="53">
        <v>2.2000000000000002</v>
      </c>
      <c r="B9" s="51" t="s">
        <v>42</v>
      </c>
      <c r="C9" s="51" t="s">
        <v>391</v>
      </c>
      <c r="D9" s="52" t="s">
        <v>394</v>
      </c>
      <c r="E9" s="52" t="s">
        <v>44</v>
      </c>
      <c r="F9" s="51" t="s">
        <v>45</v>
      </c>
      <c r="G9" s="51" t="s">
        <v>46</v>
      </c>
      <c r="H9" s="51" t="s">
        <v>395</v>
      </c>
      <c r="I9" s="51" t="s">
        <v>47</v>
      </c>
      <c r="J9" s="52" t="s">
        <v>384</v>
      </c>
    </row>
    <row r="10" spans="1:10" s="47" customFormat="1" ht="68" x14ac:dyDescent="0.2">
      <c r="A10" s="53">
        <v>2.2999999999999998</v>
      </c>
      <c r="B10" s="51" t="s">
        <v>48</v>
      </c>
      <c r="C10" s="51" t="s">
        <v>391</v>
      </c>
      <c r="D10" s="52" t="s">
        <v>394</v>
      </c>
      <c r="E10" s="52" t="s">
        <v>49</v>
      </c>
      <c r="F10" s="51" t="s">
        <v>50</v>
      </c>
      <c r="G10" s="51" t="s">
        <v>51</v>
      </c>
      <c r="H10" s="51" t="s">
        <v>396</v>
      </c>
      <c r="I10" s="51" t="s">
        <v>52</v>
      </c>
      <c r="J10" s="52" t="s">
        <v>384</v>
      </c>
    </row>
    <row r="11" spans="1:10" s="47" customFormat="1" ht="68" x14ac:dyDescent="0.2">
      <c r="A11" s="53">
        <v>2.4</v>
      </c>
      <c r="B11" s="51" t="s">
        <v>53</v>
      </c>
      <c r="C11" s="51" t="s">
        <v>391</v>
      </c>
      <c r="D11" s="52" t="s">
        <v>386</v>
      </c>
      <c r="E11" s="52" t="s">
        <v>397</v>
      </c>
      <c r="F11" s="51" t="s">
        <v>54</v>
      </c>
      <c r="G11" s="51" t="s">
        <v>55</v>
      </c>
      <c r="H11" s="51" t="s">
        <v>398</v>
      </c>
      <c r="I11" s="51" t="s">
        <v>399</v>
      </c>
      <c r="J11" s="52" t="s">
        <v>384</v>
      </c>
    </row>
    <row r="12" spans="1:10" s="47" customFormat="1" ht="51" x14ac:dyDescent="0.2">
      <c r="A12" s="53">
        <v>2.5</v>
      </c>
      <c r="B12" s="51" t="s">
        <v>56</v>
      </c>
      <c r="C12" s="51" t="s">
        <v>391</v>
      </c>
      <c r="D12" s="52" t="s">
        <v>394</v>
      </c>
      <c r="E12" s="52" t="s">
        <v>57</v>
      </c>
      <c r="F12" s="51" t="s">
        <v>58</v>
      </c>
      <c r="G12" s="51" t="s">
        <v>59</v>
      </c>
      <c r="H12" s="51" t="s">
        <v>400</v>
      </c>
      <c r="I12" s="51" t="s">
        <v>60</v>
      </c>
      <c r="J12" s="52" t="s">
        <v>393</v>
      </c>
    </row>
    <row r="13" spans="1:10" s="47" customFormat="1" ht="51" x14ac:dyDescent="0.2">
      <c r="A13" s="53">
        <v>2.6</v>
      </c>
      <c r="B13" s="51" t="s">
        <v>61</v>
      </c>
      <c r="C13" s="51" t="s">
        <v>391</v>
      </c>
      <c r="D13" s="52" t="s">
        <v>394</v>
      </c>
      <c r="E13" s="52" t="s">
        <v>23</v>
      </c>
      <c r="F13" s="51" t="s">
        <v>62</v>
      </c>
      <c r="G13" s="51" t="s">
        <v>63</v>
      </c>
      <c r="H13" s="51" t="s">
        <v>401</v>
      </c>
      <c r="I13" s="51" t="s">
        <v>64</v>
      </c>
      <c r="J13" s="52" t="s">
        <v>388</v>
      </c>
    </row>
    <row r="14" spans="1:10" s="47" customFormat="1" ht="51" x14ac:dyDescent="0.2">
      <c r="A14" s="53">
        <v>2.7</v>
      </c>
      <c r="B14" s="51" t="s">
        <v>65</v>
      </c>
      <c r="C14" s="51" t="s">
        <v>391</v>
      </c>
      <c r="D14" s="52" t="s">
        <v>386</v>
      </c>
      <c r="E14" s="52" t="s">
        <v>66</v>
      </c>
      <c r="F14" s="51" t="s">
        <v>67</v>
      </c>
      <c r="G14" s="51" t="s">
        <v>68</v>
      </c>
      <c r="H14" s="51" t="s">
        <v>402</v>
      </c>
      <c r="I14" s="51" t="s">
        <v>69</v>
      </c>
      <c r="J14" s="52" t="s">
        <v>388</v>
      </c>
    </row>
    <row r="15" spans="1:10" s="47" customFormat="1" ht="68" customHeight="1" x14ac:dyDescent="0.2">
      <c r="A15" s="53">
        <v>2.8</v>
      </c>
      <c r="B15" s="51" t="s">
        <v>70</v>
      </c>
      <c r="C15" s="51" t="s">
        <v>391</v>
      </c>
      <c r="D15" s="52" t="s">
        <v>386</v>
      </c>
      <c r="E15" s="52" t="s">
        <v>371</v>
      </c>
      <c r="F15" s="51" t="s">
        <v>373</v>
      </c>
      <c r="G15" s="51" t="s">
        <v>374</v>
      </c>
      <c r="H15" s="51" t="s">
        <v>403</v>
      </c>
      <c r="I15" s="51" t="s">
        <v>404</v>
      </c>
      <c r="J15" s="52" t="s">
        <v>388</v>
      </c>
    </row>
    <row r="16" spans="1:10" s="47" customFormat="1" ht="51" x14ac:dyDescent="0.2">
      <c r="A16" s="53">
        <v>3.1</v>
      </c>
      <c r="B16" s="51" t="s">
        <v>71</v>
      </c>
      <c r="C16" s="51" t="s">
        <v>405</v>
      </c>
      <c r="D16" s="52" t="s">
        <v>382</v>
      </c>
      <c r="E16" s="52" t="s">
        <v>73</v>
      </c>
      <c r="F16" s="51" t="s">
        <v>74</v>
      </c>
      <c r="G16" s="51" t="s">
        <v>75</v>
      </c>
      <c r="H16" s="51" t="s">
        <v>406</v>
      </c>
      <c r="I16" s="51" t="s">
        <v>76</v>
      </c>
      <c r="J16" s="52" t="s">
        <v>384</v>
      </c>
    </row>
    <row r="17" spans="1:10" s="47" customFormat="1" ht="51" x14ac:dyDescent="0.2">
      <c r="A17" s="53">
        <v>4.0999999999999996</v>
      </c>
      <c r="B17" s="51" t="s">
        <v>77</v>
      </c>
      <c r="C17" s="51" t="s">
        <v>407</v>
      </c>
      <c r="D17" s="52" t="s">
        <v>386</v>
      </c>
      <c r="E17" s="52" t="s">
        <v>28</v>
      </c>
      <c r="F17" s="51" t="s">
        <v>79</v>
      </c>
      <c r="G17" s="51" t="s">
        <v>80</v>
      </c>
      <c r="H17" s="51" t="s">
        <v>408</v>
      </c>
      <c r="I17" s="51" t="s">
        <v>81</v>
      </c>
      <c r="J17" s="52" t="s">
        <v>393</v>
      </c>
    </row>
    <row r="18" spans="1:10" s="47" customFormat="1" ht="51" x14ac:dyDescent="0.2">
      <c r="A18" s="53">
        <v>5.0999999999999996</v>
      </c>
      <c r="B18" s="51" t="s">
        <v>82</v>
      </c>
      <c r="C18" s="51" t="s">
        <v>409</v>
      </c>
      <c r="D18" s="52" t="s">
        <v>386</v>
      </c>
      <c r="E18" s="52" t="s">
        <v>84</v>
      </c>
      <c r="F18" s="51" t="s">
        <v>85</v>
      </c>
      <c r="G18" s="51" t="s">
        <v>86</v>
      </c>
      <c r="H18" s="51" t="s">
        <v>410</v>
      </c>
      <c r="I18" s="51" t="s">
        <v>87</v>
      </c>
      <c r="J18" s="52" t="s">
        <v>411</v>
      </c>
    </row>
    <row r="19" spans="1:10" s="47" customFormat="1" ht="51" x14ac:dyDescent="0.2">
      <c r="A19" s="54" t="s">
        <v>88</v>
      </c>
      <c r="B19" s="51" t="s">
        <v>89</v>
      </c>
      <c r="C19" s="51" t="s">
        <v>412</v>
      </c>
      <c r="D19" s="52" t="s">
        <v>386</v>
      </c>
      <c r="E19" s="52" t="s">
        <v>91</v>
      </c>
      <c r="F19" s="51" t="s">
        <v>92</v>
      </c>
      <c r="G19" s="51" t="s">
        <v>93</v>
      </c>
      <c r="H19" s="51" t="s">
        <v>413</v>
      </c>
      <c r="I19" s="51" t="s">
        <v>94</v>
      </c>
      <c r="J19" s="52" t="s">
        <v>388</v>
      </c>
    </row>
    <row r="20" spans="1:10" s="47" customFormat="1" ht="51" x14ac:dyDescent="0.2">
      <c r="A20" s="54" t="s">
        <v>95</v>
      </c>
      <c r="B20" s="51" t="s">
        <v>96</v>
      </c>
      <c r="C20" s="51" t="s">
        <v>412</v>
      </c>
      <c r="D20" s="52" t="s">
        <v>386</v>
      </c>
      <c r="E20" s="52" t="s">
        <v>97</v>
      </c>
      <c r="F20" s="51" t="s">
        <v>98</v>
      </c>
      <c r="G20" s="51" t="s">
        <v>99</v>
      </c>
      <c r="H20" s="51" t="s">
        <v>414</v>
      </c>
      <c r="I20" s="51" t="s">
        <v>100</v>
      </c>
      <c r="J20" s="52" t="s">
        <v>388</v>
      </c>
    </row>
    <row r="21" spans="1:10" s="47" customFormat="1" ht="51" x14ac:dyDescent="0.2">
      <c r="A21" s="54" t="s">
        <v>101</v>
      </c>
      <c r="B21" s="51" t="s">
        <v>102</v>
      </c>
      <c r="C21" s="51" t="s">
        <v>415</v>
      </c>
      <c r="D21" s="52" t="s">
        <v>394</v>
      </c>
      <c r="E21" s="52" t="s">
        <v>104</v>
      </c>
      <c r="F21" s="51" t="s">
        <v>105</v>
      </c>
      <c r="G21" s="51" t="s">
        <v>106</v>
      </c>
      <c r="H21" s="51" t="s">
        <v>416</v>
      </c>
      <c r="I21" s="51" t="s">
        <v>107</v>
      </c>
      <c r="J21" s="52" t="s">
        <v>384</v>
      </c>
    </row>
    <row r="22" spans="1:10" s="47" customFormat="1" ht="51" x14ac:dyDescent="0.2">
      <c r="A22" s="54" t="s">
        <v>108</v>
      </c>
      <c r="B22" s="51" t="s">
        <v>109</v>
      </c>
      <c r="C22" s="51" t="s">
        <v>415</v>
      </c>
      <c r="D22" s="52" t="s">
        <v>394</v>
      </c>
      <c r="E22" s="52" t="s">
        <v>110</v>
      </c>
      <c r="F22" s="51" t="s">
        <v>111</v>
      </c>
      <c r="G22" s="51" t="s">
        <v>112</v>
      </c>
      <c r="H22" s="51" t="s">
        <v>417</v>
      </c>
      <c r="I22" s="51" t="s">
        <v>113</v>
      </c>
      <c r="J22" s="52" t="s">
        <v>384</v>
      </c>
    </row>
  </sheetData>
  <mergeCells count="1">
    <mergeCell ref="A1:J1"/>
  </mergeCells>
  <pageMargins left="1" right="1" top="1" bottom="1" header="0.25" footer="0.25"/>
  <pageSetup orientation="portrait"/>
  <headerFooter>
    <oddFooter>&amp;C&amp;"Helvetica Neue,Regular"&amp;12&amp;K000000&amp;P</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Document_x0020_Purpose xmlns="f577acbf-5b0b-4b4f-9948-268e97f8d3a4">Informational</Document_x0020_Purpose>
    <Initiatives xmlns="f577acbf-5b0b-4b4f-9948-268e97f8d3a4"/>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CD401524DC532D42A0E0ED886331A72B" ma:contentTypeVersion="13" ma:contentTypeDescription="Create a new document." ma:contentTypeScope="" ma:versionID="d936d863d335d354da51eb78ca1ae338">
  <xsd:schema xmlns:xsd="http://www.w3.org/2001/XMLSchema" xmlns:xs="http://www.w3.org/2001/XMLSchema" xmlns:p="http://schemas.microsoft.com/office/2006/metadata/properties" xmlns:ns2="f577acbf-5b0b-4b4f-9948-268e97f8d3a4" xmlns:ns3="b1e4d6ee-9f6f-43f8-a618-24f3d84da28f" targetNamespace="http://schemas.microsoft.com/office/2006/metadata/properties" ma:root="true" ma:fieldsID="5fbac08d56b1b04aa33acbc31e882ce9" ns2:_="" ns3:_="">
    <xsd:import namespace="f577acbf-5b0b-4b4f-9948-268e97f8d3a4"/>
    <xsd:import namespace="b1e4d6ee-9f6f-43f8-a618-24f3d84da28f"/>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3:LastSharedByUser" minOccurs="0"/>
                <xsd:element ref="ns3:LastSharedByTime" minOccurs="0"/>
                <xsd:element ref="ns2:Document_x0020_Purpose" minOccurs="0"/>
                <xsd:element ref="ns2:Initiatives" minOccurs="0"/>
                <xsd:element ref="ns2:MediaServiceDateTaken" minOccurs="0"/>
                <xsd:element ref="ns2:MediaServiceAutoTags" minOccurs="0"/>
                <xsd:element ref="ns2:MediaServiceOCR"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577acbf-5b0b-4b4f-9948-268e97f8d3a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Document_x0020_Purpose" ma:index="14" nillable="true" ma:displayName="Document Purpose" ma:default="Informational" ma:format="Dropdown" ma:internalName="Document_x0020_Purpose">
      <xsd:simpleType>
        <xsd:restriction base="dms:Choice">
          <xsd:enumeration value="Informational"/>
          <xsd:enumeration value="Feature Spec"/>
          <xsd:enumeration value="Engineering Design"/>
          <xsd:enumeration value="Planning"/>
        </xsd:restriction>
      </xsd:simpleType>
    </xsd:element>
    <xsd:element name="Initiatives" ma:index="15" nillable="true" ma:displayName="Initiatives" ma:description="List of initiatives related to this document" ma:internalName="Initiatives">
      <xsd:complexType>
        <xsd:complexContent>
          <xsd:extension base="dms:MultiChoice">
            <xsd:sequence>
              <xsd:element name="Value" maxOccurs="unbounded" minOccurs="0" nillable="true">
                <xsd:simpleType>
                  <xsd:restriction base="dms:Choice">
                    <xsd:enumeration value="Add-in MAU"/>
                    <xsd:enumeration value="Custom Functions"/>
                    <xsd:enumeration value="Data &amp; Analytics"/>
                    <xsd:enumeration value="DevEx: Portals &amp; Programs"/>
                    <xsd:enumeration value="DevEx: Tools &amp; Libraries"/>
                    <xsd:enumeration value="Engineering"/>
                    <xsd:enumeration value="Excel API"/>
                    <xsd:enumeration value="In-Market Support"/>
                    <xsd:enumeration value="Maker Access"/>
                    <xsd:enumeration value="SDX Runtime &amp; Partners"/>
                    <xsd:enumeration value="SDX Service Delivery"/>
                    <xsd:enumeration value="SDX API &amp; Pipeline"/>
                    <xsd:enumeration value="Shield &amp; OCE"/>
                  </xsd:restriction>
                </xsd:simpleType>
              </xsd:element>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AutoTags" ma:index="17" nillable="true" ma:displayName="MediaServiceAutoTags" ma:internalName="MediaServiceAutoTags" ma:readOnly="true">
      <xsd:simpleType>
        <xsd:restriction base="dms:Text"/>
      </xsd:simpleType>
    </xsd:element>
    <xsd:element name="MediaServiceOCR" ma:index="18" nillable="true" ma:displayName="MediaServiceOCR" ma:internalName="MediaServiceOCR" ma:readOnly="true">
      <xsd:simpleType>
        <xsd:restriction base="dms:Note">
          <xsd:maxLength value="255"/>
        </xsd:restriction>
      </xsd:simpleType>
    </xsd:element>
    <xsd:element name="MediaServiceLocation" ma:index="19" nillable="true" ma:displayName="MediaServic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1e4d6ee-9f6f-43f8-a618-24f3d84da28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LastSharedByUser" ma:index="12" nillable="true" ma:displayName="Last Shared By User" ma:hidden="true" ma:internalName="LastSharedByUser" ma:readOnly="true">
      <xsd:simpleType>
        <xsd:restriction base="dms:Note"/>
      </xsd:simpleType>
    </xsd:element>
    <xsd:element name="LastSharedByTime" ma:index="13" nillable="true" ma:displayName="Last Shared By Time" ma:hidden="true" ma:internalName="LastSharedByTime" ma:readOnly="true">
      <xsd:simpleType>
        <xsd:restriction base="dms:DateTim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F48E296-90D9-4A92-A29D-759F46DCA7D9}">
  <ds:schemaRefs>
    <ds:schemaRef ds:uri="http://schemas.microsoft.com/sharepoint/v3/contenttype/forms"/>
  </ds:schemaRefs>
</ds:datastoreItem>
</file>

<file path=customXml/itemProps2.xml><?xml version="1.0" encoding="utf-8"?>
<ds:datastoreItem xmlns:ds="http://schemas.openxmlformats.org/officeDocument/2006/customXml" ds:itemID="{70FB5453-596E-4CE8-BCCA-8DF4D5465AF4}">
  <ds:schemaRefs>
    <ds:schemaRef ds:uri="http://schemas.microsoft.com/office/2006/metadata/properties"/>
    <ds:schemaRef ds:uri="b1e4d6ee-9f6f-43f8-a618-24f3d84da28f"/>
    <ds:schemaRef ds:uri="http://purl.org/dc/terms/"/>
    <ds:schemaRef ds:uri="http://schemas.openxmlformats.org/package/2006/metadata/core-properties"/>
    <ds:schemaRef ds:uri="f577acbf-5b0b-4b4f-9948-268e97f8d3a4"/>
    <ds:schemaRef ds:uri="http://schemas.microsoft.com/office/2006/documentManagement/types"/>
    <ds:schemaRef ds:uri="http://schemas.microsoft.com/office/infopath/2007/PartnerControls"/>
    <ds:schemaRef ds:uri="http://purl.org/dc/elements/1.1/"/>
    <ds:schemaRef ds:uri="http://www.w3.org/XML/1998/namespace"/>
    <ds:schemaRef ds:uri="http://purl.org/dc/dcmitype/"/>
  </ds:schemaRefs>
</ds:datastoreItem>
</file>

<file path=customXml/itemProps3.xml><?xml version="1.0" encoding="utf-8"?>
<ds:datastoreItem xmlns:ds="http://schemas.openxmlformats.org/officeDocument/2006/customXml" ds:itemID="{2426A393-DB36-49FF-B8B1-6D5559B7ABF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577acbf-5b0b-4b4f-9948-268e97f8d3a4"/>
    <ds:schemaRef ds:uri="b1e4d6ee-9f6f-43f8-a618-24f3d84da28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Evidence Matrix</vt:lpstr>
      <vt:lpstr>Summary</vt:lpstr>
      <vt:lpstr>Methodology</vt:lpstr>
      <vt:lpstr>Ratings Criteria</vt:lpstr>
      <vt:lpstr>output-assessment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2018-06-07T17:34:22Z</dcterms:created>
  <dcterms:modified xsi:type="dcterms:W3CDTF">2026-01-29T06:07:14Z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0x010100CD401524DC532D42A0E0ED886331A72B</vt:lpwstr>
  </property>
  <property fmtid="{D5CDD505-2E9C-101B-9397-08002B2CF9AE}" pid="3" name="MSIP_Label_f42aa342-8706-4288-bd11-ebb85995028c_Enabled">
    <vt:lpwstr>True</vt:lpwstr>
  </property>
  <property fmtid="{D5CDD505-2E9C-101B-9397-08002B2CF9AE}" pid="4" name="MSIP_Label_f42aa342-8706-4288-bd11-ebb85995028c_SiteId">
    <vt:lpwstr>72f988bf-86f1-41af-91ab-2d7cd011db47</vt:lpwstr>
  </property>
  <property fmtid="{D5CDD505-2E9C-101B-9397-08002B2CF9AE}" pid="5" name="MSIP_Label_f42aa342-8706-4288-bd11-ebb85995028c_Owner">
    <vt:lpwstr>t-dahop@microsoft.com</vt:lpwstr>
  </property>
  <property fmtid="{D5CDD505-2E9C-101B-9397-08002B2CF9AE}" pid="6" name="MSIP_Label_f42aa342-8706-4288-bd11-ebb85995028c_SetDate">
    <vt:lpwstr>2018-06-18T14:22:57.3833839Z</vt:lpwstr>
  </property>
  <property fmtid="{D5CDD505-2E9C-101B-9397-08002B2CF9AE}" pid="7" name="MSIP_Label_f42aa342-8706-4288-bd11-ebb85995028c_Name">
    <vt:lpwstr>General</vt:lpwstr>
  </property>
  <property fmtid="{D5CDD505-2E9C-101B-9397-08002B2CF9AE}" pid="8" name="MSIP_Label_f42aa342-8706-4288-bd11-ebb85995028c_Application">
    <vt:lpwstr>Microsoft Azure Information Protection</vt:lpwstr>
  </property>
  <property fmtid="{D5CDD505-2E9C-101B-9397-08002B2CF9AE}" pid="9" name="MSIP_Label_f42aa342-8706-4288-bd11-ebb85995028c_Extended_MSFT_Method">
    <vt:lpwstr>Automatic</vt:lpwstr>
  </property>
  <property fmtid="{D5CDD505-2E9C-101B-9397-08002B2CF9AE}" pid="10" name="Sensitivity">
    <vt:lpwstr>General</vt:lpwstr>
  </property>
</Properties>
</file>