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4C023B67-8C80-7B45-B24A-82AA07A26BE7}" xr6:coauthVersionLast="47" xr6:coauthVersionMax="47" xr10:uidLastSave="{00000000-0000-0000-0000-000000000000}"/>
  <bookViews>
    <workbookView xWindow="0" yWindow="0" windowWidth="38400" windowHeight="21600" activeTab="3"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<sst xmlns="http://schemas.openxmlformats.org/spreadsheetml/2006/main" count="689" uniqueCount="525">
  <si>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</si>
  <si>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</si>
  <si>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</si>
  <si>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</si>
  <si>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</si>
  <si>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</si>
  <si>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</si>
  <si>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</si>
  <si>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</si>
  <si>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</si>
  <si>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</si>
  <si>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</si>
  <si>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</si>
  <si>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</si>
  <si>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</si>
  <si>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</si>
  <si>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</si>
  <si>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</si>
  <si>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</si>
  <si>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</si>
  <si>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</si>
  <si>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</si>
  <si>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</si>
  <si>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</si>
  <si>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</si>
  <si>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</si>
  <si>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</si>
  <si>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</si>
  <si>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</si>
  <si>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</si>
  <si>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</si>
  <si>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</si>
  <si>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</si>
  <si>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</si>
  <si>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</si>
  <si>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</si>
  <si>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</si>
  <si>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</si>
  <si>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</si>
  <si>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</si>
  <si>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</si>
  <si>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</si>
  <si>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</si>
  <si>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</si>
  <si>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</si>
  <si>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</si>
  <si>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</si>
  <si>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</si>
  <si>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</si>
  <si>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</si>
  <si>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</si>
  <si>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</si>
  <si>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</si>
  <si>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</si>
  <si>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</si>
  <si>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</si>
  <si>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</si>
  <si>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</si>
  <si>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</si>
  <si>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</si>
  <si>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</si>
  <si>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</si>
  <si>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</si>
  <si>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</si>
  <si>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</si>
  <si>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</si>
  <si>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</si>
  <si>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</si>
  <si>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</si>
  <si>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</si>
  <si>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</si>
  <si>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</si>
  <si>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</si>
  <si>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</si>
  <si>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</si>
  <si>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</si>
  <si>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</si>
  <si>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</si>
  <si>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</si>
  <si>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</si>
  <si>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</si>
  <si>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</si>
  <si>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</si>
  <si>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</si>
  <si>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</si>
  <si>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</si>
  <si>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</si>
  <si>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</si>
  <si>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</si>
  <si>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</si>
  <si>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</si>
  <si>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</si>
  <si>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</si>
  <si>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</si>
  <si>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</si>
  <si>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</si>
  <si>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</si>
  <si>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</si>
  <si>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</si>
  <si>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</si>
  <si>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</si>
  <si>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</si>
  <si>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</si>
  <si>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</si>
  <si>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</si>
  <si>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</si>
  <si>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</si>
  <si>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</si>
  <si>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</si>
  <si>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</si>
  <si>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</si>
  <si>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</si>
  <si>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</si>
  <si>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</si>
  <si>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</si>
  <si>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</si>
  <si>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</si>
  <si>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</si>
  <si>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</si>
  <si>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</si>
  <si>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</si>
  <si>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</si>
  <si>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</si>
  <si>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</si>
  <si>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</si>
  <si>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</si>
  <si>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</si>
  <si>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</si>
  <si>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</si>
  <si>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</si>
  <si>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</si>
  <si>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</si>
  <si>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</si>
  <si>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</si>
  <si>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</si>
  <si>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</si>
  <si>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</si>
  <si>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</si>
  <si>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</si>
  <si>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</si>
  <si>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</si>
  <si>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</si>
  <si>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</si>
  <si>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</si>
  <si>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</si>
  <si>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</si>
  <si>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</si>
  <si>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</si>
  <si>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</si>
  <si>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</si>
  <si>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</si>
  <si>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</si>
  <si>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</si>
  <si>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</si>
  <si>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</si>
  <si>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</si>
  <si>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</si>
  <si>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</si>
  <si>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</si>
  <si>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</si>
  <si>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</si>
  <si>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</si>
  <si>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</si>
  <si>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</si>
  <si>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</si>
  <si>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</si>
  <si>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</si>
  <si>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</si>
  <si>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</si>
  <si>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</si>
  <si>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</si>
  <si>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</si>
  <si>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</si>
  <si>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</si>
  <si>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</si>
  <si>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</si>
  <si>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</si>
  <si>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</si>
  <si>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</si>
  <si>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</si>
  <si>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</si>
  <si>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</si>
  <si>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</si>
  <si>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</si>
  <si>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</si>
  <si>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</si>
  <si>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</si>
  <si>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</si>
  <si>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</si>
  <si>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</si>
  <si>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</si>
  <si>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</si>
  <si>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</si>
  <si>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</si>
  <si>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</si>
  <si>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</si>
  <si>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</si>
  <si>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</si>
  <si>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</si>
  <si>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</si>
  <si>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</si>
  <si>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</si>
  <si>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</si>
  <si>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</si>
  <si>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</si>
  <si>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</si>
  <si>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</si>
  <si>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</si>
  <si>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</si>
  <si>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</si>
  <si>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</si>
  <si>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</si>
  <si>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</si>
  <si>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</si>
  <si>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</si>
  <si>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</si>
  <si>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</si>
  <si>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</si>
  <si>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</si>
  <si>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</si>
  <si>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</si>
  <si>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</si>
  <si>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</si>
  <si>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</si>
  <si>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</si>
  <si>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</si>
  <si>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</si>
  <si>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</si>
  <si>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</si>
  <si>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</si>
  <si>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</si>
  <si>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</si>
  <si>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</si>
  <si>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</si>
  <si>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</si>
  <si>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</si>
  <si>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</si>
  <si>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</si>
  <si>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</si>
  <si>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</si>
  <si>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</si>
  <si>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</si>
  <si>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</si>
  <si>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</si>
  <si>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</si>
  <si>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</si>
  <si>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</si>
  <si>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</si>
  <si>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</si>
  <si>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</si>
  <si>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</si>
  <si>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</si>
  <si>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</si>
  <si>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</si>
  <si>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</si>
  <si>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</si>
  <si>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</si>
  <si>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</si>
  <si>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Senate testimony: TGA admits monitoring 'never systematically tracked' against Plan</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</si>
  <si>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</si>
  <si>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</si>
  <si>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</si>
  <si>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</si>
  <si>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</si>
  <si>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</si>
  <si>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</si>
  <si>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</si>
  <si>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</si>
  <si>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</si>
  <si>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</si>
  <si>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</si>
  <si>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</si>
  <si>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</si>
  <si>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</si>
  <si>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</si>
  <si>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</si>
  <si>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</si>
  <si>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</si>
  <si>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</si>
  <si>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</si>
  <si>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</si>
  <si>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</si>
  <si>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</si>
  <si>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</si>
  <si>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</si>
  <si>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</si>
  <si>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</si>
  <si>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</si>
  <si>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</si>
  <si>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</si>
  <si>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</si>
  <si>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</si>
  <si>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</si>
  <si>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</si>
  <si>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</si>
  <si>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</si>
  <si>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</si>
  <si>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</si>
  <si>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</si>
  <si>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</si>
  <si>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</si>
  <si>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</si>
  <si>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</si>
  <si>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</si>
  <si>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</si>
  <si>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</si>
  <si>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</si>
  <si>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</si>
  <si>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</si>
  <si>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</si>
  <si>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</si>
  <si>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</si>
  <si>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</si>
  <si>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</si>
  <si>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</si>
  <si>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</si>
  <si>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</si>
  <si>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</si>
  <si>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</si>
  <si>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</si>
  <si>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</si>
  <si>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</si>
  <si>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</si>
  <si>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</si>
  <si>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</si>
  <si>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</si>
  <si>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</si>
  <si>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</si>
  <si>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</si>
  <si>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</si>
  <si>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</si>
  <si>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</si>
  <si>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</si>
  <si>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</si>
  <si>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</si>
  <si>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</si>
  <si>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</si>
  <si>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</si>
  <si>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</si>
  <si>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</si>
  <si>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</si>
  <si>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</si>
  <si>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</si>
  <si>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</si>
  <si>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</si>
  <si>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</si>
  <si>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</si>
  <si>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</si>
  <si>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</si>
  <si>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</si>
  <si>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</si>
  <si>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</si>
  <si>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</si>
  <si>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</si>
  <si>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</si>
  <si>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</si>
  <si>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</si>
  <si>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</si>
  <si>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</si>
  <si>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</si>
  <si>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</si>
  <si>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</si>
  <si>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</si>
  <si>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</si>
  <si>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</si>
  <si>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</si>
  <si>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</si>
  <si>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</si>
  <si>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</si>
  <si>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</si>
  <si>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</si>
  <si>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</si>
  <si>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</si>
  <si>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</si>
  <si>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</si>
  <si>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</si>
  <si>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</si>
  <si>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</si>
  <si>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</si>
  <si>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</si>
  <si>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</si>
  <si>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</si>
  <si>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</si>
  <si>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</si>
  <si>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</si>
  <si>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</si>
  <si>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</si>
  <si>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</si>
  <si>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</si>
  <si>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</si>
  <si>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</si>
  <si>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</si>
  <si>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</si>
  <si>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</si>
  <si>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</si>
  <si>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</si>
  <si>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</si>
  <si>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</si>
  <si>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</si>
  <si>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</si>
  <si>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</si>
  <si>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</si>
  <si>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</si>
  <si>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</si>
  <si>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</si>
  <si>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</si>
  <si>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</si>
  <si>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</si>
  <si>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</si>
  <si>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</si>
  <si>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</si>
  <si>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</si>
  <si>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</si>
  <si>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</si>
  <si>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</si>
  <si>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</si>
  <si>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</si>
  <si>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</si>
  <si>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</si>
  <si>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</si>
  <si>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</si>
  <si>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</si>
  <si>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</si>
  <si>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</si>
  <si>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</si>
  <si>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r>
      <t>Last Updated:</t>
    </r>
    <r>
      <rPr>
        <sz val="12"/>
        <color theme="1"/>
        <rFont val="Calibri"/>
        <family val="2"/>
        <scheme val="minor"/>
      </rPr>
      <t xml:space="preserve"> 12 October 2026</t>
    </r>
  </si>
  <si>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</si>
  <si>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</si>
  <si>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</si>
  <si>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</si>
  <si>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</si>
  <si>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</si>
  <si>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</si>
  <si>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</si>
  <si>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</si>
  <si>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2.5: No COVID-specific process for receiving clinical study reports or Safety Summary Reports (listed as ‘tbc’ in FOI 5082). Output GOV.1: No oversight committee documentation; Senate testimony confirms ‘never systematically tracked’. Output GOV.2: No tracking against the Plan’s outputs.</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</si>
  <si>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</si>
  <si>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</si>
  <si>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</si>
  <si>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</si>
  <si>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</si>
  <si>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Why Not Documented: Plan required governance/oversight mechanisms for 19 outputs. The Department’s sample searches identified no governance documentation in scope. Senate testimony direct admission: 'never systematically tracked'. No Plan governance mechanism was identified</t>
  </si>
  <si>
    <t>Distinguishes between operational delivery (which clearly happened: 140K reports, 6.8M surveys, 150 signals) and systematic implementation of Plan's enhanced framework (which cannot be verified through documentation)</t>
  </si>
  <si>
    <t>Last Updated: 13 October 2026</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</si>
  <si>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</si>
  <si>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</si>
  <si>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</si>
  <si>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('day-to-day processes never systematically tracked'); OAIC MR22/00538 (Department sample searches: no governance documentation in scope); FOI 3643 (Feb 2022: 'no implementation report exists')</t>
  </si>
  <si>
    <t>Senate Hansard 9 Oct 2025; FOI 3643 Kay email 23 Feb 2022 ('no implementation report... entering phase of reviewing'); Surveillance Analysis (zero Plan references across 150+ reports); Department sample searches identified no plan tracking</t>
  </si>
  <si>
    <t>Senate Hansard 9 Oct 2025 ('day-to-day processes never systematically tracked'); OAIC Decision AICmr 54; OAIC MR22/00538 (Department sample searches: no governance documentation in scope); FOI 3643 (Feb 2022: 'no implementation report exists')</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</si>
  <si>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</si>
  <si>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</si>
  <si>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</si>
  <si>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</si>
  <si>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</si>
  <si>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</si>
  <si>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</si>
  <si>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</si>
  <si>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</si>
  <si>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</si>
  <si>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</si>
  <si>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</si>
  <si>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</si>
  <si>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</si>
  <si>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</si>
  <si>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</si>
  <si>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</si>
  <si>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</si>
  <si>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</si>
  <si>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</si>
  <si>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</si>
  <si>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</si>
  <si>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</si>
  <si>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</si>
  <si>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</si>
  <si>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</si>
  <si>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</si>
  <si>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</si>
  <si>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</si>
  <si>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</si>
  <si>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</si>
  <si>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</si>
  <si>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</si>
  <si>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</si>
  <si>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</si>
  <si>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</si>
  <si>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FOI 26-3110 (AusVaxSafety Annual Report 2022); FOI 4029-03 (ACV received Strategy 2.3 methodology, Sep 2021); FOI 4029-05 (VSIG operational; child deaths not referred); ACV Meeting Statements; Senate testimony; OAIC MR22/00538 (“unable to meaningfully interpret” Objective 5 for advisory searches)</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</si>
  <si>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</si>
  <si>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</si>
  <si>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</si>
  <si>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</si>
  <si>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</si>
  <si>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</si>
  <si>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</si>
  <si>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</si>
  <si>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</si>
  <si>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</si>
  <si>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</si>
  <si>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</si>
  <si>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</si>
  <si>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</si>
  <si>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</si>
  <si>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</si>
  <si>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</si>
  <si>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</si>
  <si>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</si>
  <si>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</si>
  <si>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(“unable to meaningfully interpret” Objective 5 for advisory searches)</t>
    </r>
  </si>
  <si>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</si>
  <si>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</si>
  <si>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</si>
  <si>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</si>
  <si>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</si>
  <si>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</si>
  <si>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</si>
  <si>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</si>
  <si>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</si>
  <si>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</si>
  <si>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</si>
  <si>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</si>
  <si>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</si>
  <si>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</si>
  <si>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Plan required governance and oversight mechanisms for its 19 outputs. The Department’s sample searches (TRIM and Promap) identified no governance documentation in scope. Senate testimony (9 October 2025): monitoring ‘never systematically tracked’ against the Plan. FOI 5082 (p.90) refers to monitoring signal-investigation implementation through a PSAB Activities Register, but no tracking against the Plan’s outputs was identified</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</si>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</sst>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s>
  <fills count="2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302">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1"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9"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4"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5"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39" xfId="3" applyFill="1" applyBorder="1" applyAlignment="1">
      <alignment vertical="top" wrapText="1"/>
    </xf>
    <xf numFmtId="0" fontId="49" fillId="19" borderId="39" xfId="3" applyFill="1" applyBorder="1" applyAlignment="1">
      <alignment horizontal="center" vertical="top" wrapText="1"/>
    </xf>
    <xf numFmtId="0" fontId="66" fillId="19" borderId="39"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7" xfId="3" applyFill="1" applyBorder="1" applyAlignment="1">
      <alignment vertical="top"/>
    </xf>
    <xf numFmtId="0" fontId="49" fillId="19" borderId="57" xfId="3" applyFill="1" applyBorder="1" applyAlignment="1">
      <alignment horizontal="center" vertical="top"/>
    </xf>
    <xf numFmtId="0" fontId="49" fillId="19" borderId="57" xfId="3" applyFill="1" applyBorder="1" applyAlignment="1">
      <alignment vertical="top" wrapText="1"/>
    </xf>
    <xf numFmtId="0" fontId="49" fillId="19" borderId="58" xfId="3" applyFill="1" applyBorder="1" applyAlignment="1">
      <alignment vertical="top"/>
    </xf>
    <xf numFmtId="0" fontId="49" fillId="19" borderId="58"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49" fontId="3" fillId="28" borderId="67" xfId="0" applyNumberFormat="1" applyFont="1" applyFill="1" applyBorder="1" applyAlignment="1">
      <alignment horizontal="center" vertical="top" wrapText="1"/>
    </xf>
    <xf numFmtId="0" fontId="81" fillId="23" borderId="2" xfId="3" applyFont="1" applyFill="1" applyBorder="1" applyAlignment="1">
      <alignment vertical="top"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44" fillId="15" borderId="0" xfId="0" applyFont="1" applyFill="1" applyAlignment="1">
      <alignment vertical="center"/>
    </xf>
    <xf numFmtId="0" fontId="0" fillId="0" borderId="0" xfId="0"/>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43"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51" fillId="20" borderId="0" xfId="3" applyFont="1" applyFill="1" applyAlignment="1">
      <alignment vertical="center" wrapText="1" indent="1"/>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62" fillId="25" borderId="65" xfId="3" applyFont="1" applyFill="1" applyBorder="1" applyAlignment="1">
      <alignment vertical="center"/>
    </xf>
    <xf numFmtId="0" fontId="61" fillId="0" borderId="0" xfId="3" applyFont="1" applyAlignment="1">
      <alignment vertical="center" wrapText="1" indent="1"/>
    </xf>
    <xf numFmtId="0" fontId="63" fillId="25" borderId="65" xfId="3" applyFont="1" applyFill="1" applyBorder="1" applyAlignment="1">
      <alignment vertical="center"/>
    </xf>
    <xf numFmtId="0" fontId="64" fillId="25" borderId="65" xfId="3" applyFont="1" applyFill="1" applyBorder="1" applyAlignment="1">
      <alignment vertical="center"/>
    </xf>
    <xf numFmtId="0" fontId="65" fillId="25" borderId="65" xfId="3" applyFont="1" applyFill="1" applyBorder="1" applyAlignment="1">
      <alignment vertical="center"/>
    </xf>
    <xf numFmtId="0" fontId="56" fillId="24" borderId="0" xfId="3" applyFont="1" applyFill="1" applyAlignment="1">
      <alignment vertical="center" wrapText="1"/>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6" fillId="26" borderId="66" xfId="3" applyFont="1" applyFill="1" applyBorder="1" applyAlignment="1">
      <alignment vertical="center" wrapText="1" indent="1"/>
    </xf>
    <xf numFmtId="0" fontId="56" fillId="19" borderId="0" xfId="3" applyFont="1" applyFill="1" applyAlignment="1">
      <alignment vertical="center" wrapText="1"/>
    </xf>
    <xf numFmtId="0" fontId="70" fillId="26" borderId="56" xfId="3" applyFont="1" applyFill="1" applyBorder="1" applyAlignment="1">
      <alignment vertical="top" wrapText="1"/>
    </xf>
    <xf numFmtId="0" fontId="56" fillId="0" borderId="0" xfId="3" applyFont="1" applyAlignment="1">
      <alignment vertical="center"/>
    </xf>
    <xf numFmtId="0" fontId="52" fillId="24" borderId="0" xfId="3" applyFont="1" applyFill="1" applyAlignment="1">
      <alignment vertical="center" wrapText="1"/>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72" fillId="0" borderId="0" xfId="3" applyFont="1" applyAlignment="1">
      <alignment vertical="center"/>
    </xf>
    <xf numFmtId="0" fontId="56" fillId="0" borderId="0" xfId="3" applyFont="1" applyAlignment="1">
      <alignment vertical="top"/>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2" fillId="23" borderId="0" xfId="3" applyFont="1" applyFill="1" applyAlignment="1">
      <alignment vertical="center" wrapText="1"/>
    </xf>
    <xf numFmtId="0" fontId="75" fillId="22" borderId="0" xfId="3" applyFont="1" applyFill="1" applyAlignment="1">
      <alignment horizontal="center" vertical="center"/>
    </xf>
    <xf numFmtId="0" fontId="76" fillId="23" borderId="0" xfId="3" applyFont="1" applyFill="1" applyAlignment="1">
      <alignment vertical="center"/>
    </xf>
    <xf numFmtId="0" fontId="80" fillId="20" borderId="0" xfId="3" applyFont="1" applyFill="1" applyAlignment="1">
      <alignment vertical="center" wrapText="1" inden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xf numFmtId="0" fontId="0" fillId="12" borderId="24" xfId="0" applyFill="1" applyBorder="1" applyAlignment="1">
      <alignment horizontal="left" vertical="top" wrapText="1"/>
    </xf>
    <xf numFmtId="0" fontId="0" fillId="12" borderId="68" xfId="0" applyFill="1" applyBorder="1" applyAlignment="1">
      <alignment horizontal="left" vertical="top" wrapText="1"/>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workbookViewId="0">
      <selection activeCell="A3" sqref="A3:B3"/>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57" t="s">
        <v>340</v>
      </c>
      <c r="B1" s="256"/>
    </row>
    <row r="2" spans="1:2" ht="26" customHeight="1" x14ac:dyDescent="0.2">
      <c r="A2" s="258" t="s">
        <v>341</v>
      </c>
      <c r="B2" s="256"/>
    </row>
    <row r="3" spans="1:2" ht="20" customHeight="1" x14ac:dyDescent="0.2">
      <c r="A3" s="259" t="s">
        <v>474</v>
      </c>
      <c r="B3" s="256"/>
    </row>
    <row r="4" spans="1:2" ht="6" customHeight="1" x14ac:dyDescent="0.2">
      <c r="A4" s="260"/>
      <c r="B4" s="256"/>
    </row>
    <row r="5" spans="1:2" ht="88" customHeight="1" x14ac:dyDescent="0.2">
      <c r="A5" s="261" t="s">
        <v>388</v>
      </c>
      <c r="B5" s="256"/>
    </row>
    <row r="6" spans="1:2" ht="10" customHeight="1" x14ac:dyDescent="0.2"/>
    <row r="7" spans="1:2" ht="24" customHeight="1" x14ac:dyDescent="0.2">
      <c r="A7" s="255" t="s">
        <v>342</v>
      </c>
      <c r="B7" s="256"/>
    </row>
    <row r="8" spans="1:2" ht="4" customHeight="1" x14ac:dyDescent="0.2"/>
    <row r="9" spans="1:2" ht="20" customHeight="1" x14ac:dyDescent="0.2">
      <c r="A9" s="134" t="s">
        <v>343</v>
      </c>
      <c r="B9" s="134" t="s">
        <v>172</v>
      </c>
    </row>
    <row r="10" spans="1:2" ht="20" customHeight="1" x14ac:dyDescent="0.2">
      <c r="A10" s="135" t="s">
        <v>0</v>
      </c>
      <c r="B10" s="136" t="s">
        <v>344</v>
      </c>
    </row>
    <row r="11" spans="1:2" ht="20" customHeight="1" x14ac:dyDescent="0.2">
      <c r="A11" s="137" t="s">
        <v>1</v>
      </c>
      <c r="B11" s="138" t="s">
        <v>345</v>
      </c>
    </row>
    <row r="12" spans="1:2" ht="20" customHeight="1" x14ac:dyDescent="0.2">
      <c r="A12" s="135" t="s">
        <v>270</v>
      </c>
      <c r="B12" s="136" t="s">
        <v>346</v>
      </c>
    </row>
    <row r="13" spans="1:2" ht="20" customHeight="1" x14ac:dyDescent="0.2">
      <c r="A13" s="137" t="s">
        <v>3</v>
      </c>
      <c r="B13" s="138" t="s">
        <v>347</v>
      </c>
    </row>
    <row r="14" spans="1:2" ht="20" customHeight="1" x14ac:dyDescent="0.2">
      <c r="A14" s="135" t="s">
        <v>389</v>
      </c>
      <c r="B14" s="136" t="s">
        <v>348</v>
      </c>
    </row>
    <row r="15" spans="1:2" ht="20" customHeight="1" x14ac:dyDescent="0.2">
      <c r="A15" s="137" t="s">
        <v>5</v>
      </c>
      <c r="B15" s="138" t="s">
        <v>349</v>
      </c>
    </row>
    <row r="16" spans="1:2" ht="20" customHeight="1" x14ac:dyDescent="0.2">
      <c r="A16" s="135" t="s">
        <v>6</v>
      </c>
      <c r="B16" s="136" t="s">
        <v>350</v>
      </c>
    </row>
    <row r="17" spans="1:2" ht="10" customHeight="1" x14ac:dyDescent="0.2"/>
    <row r="18" spans="1:2" ht="24" customHeight="1" x14ac:dyDescent="0.2">
      <c r="A18" s="255" t="s">
        <v>351</v>
      </c>
      <c r="B18" s="256"/>
    </row>
    <row r="19" spans="1:2" ht="4" customHeight="1" x14ac:dyDescent="0.2"/>
    <row r="20" spans="1:2" ht="20" customHeight="1" x14ac:dyDescent="0.2">
      <c r="A20" s="135" t="s">
        <v>352</v>
      </c>
      <c r="B20" s="139" t="s">
        <v>353</v>
      </c>
    </row>
    <row r="21" spans="1:2" ht="30" x14ac:dyDescent="0.2">
      <c r="A21" s="137" t="s">
        <v>354</v>
      </c>
      <c r="B21" s="140" t="s">
        <v>355</v>
      </c>
    </row>
    <row r="22" spans="1:2" ht="30" x14ac:dyDescent="0.2">
      <c r="A22" s="135" t="s">
        <v>356</v>
      </c>
      <c r="B22" s="139" t="s">
        <v>357</v>
      </c>
    </row>
    <row r="23" spans="1:2" ht="30" x14ac:dyDescent="0.2">
      <c r="A23" s="137" t="s">
        <v>358</v>
      </c>
      <c r="B23" s="140" t="s">
        <v>359</v>
      </c>
    </row>
    <row r="24" spans="1:2" ht="30" x14ac:dyDescent="0.2">
      <c r="A24" s="135" t="s">
        <v>360</v>
      </c>
      <c r="B24" s="139" t="s">
        <v>361</v>
      </c>
    </row>
    <row r="25" spans="1:2" ht="10" customHeight="1" x14ac:dyDescent="0.2"/>
    <row r="26" spans="1:2" ht="24" customHeight="1" x14ac:dyDescent="0.2">
      <c r="A26" s="255" t="s">
        <v>362</v>
      </c>
      <c r="B26" s="256"/>
    </row>
    <row r="27" spans="1:2" ht="4" customHeight="1" x14ac:dyDescent="0.2"/>
    <row r="28" spans="1:2" ht="20" customHeight="1" x14ac:dyDescent="0.2">
      <c r="A28" s="135" t="s">
        <v>363</v>
      </c>
      <c r="B28" s="141" t="s">
        <v>364</v>
      </c>
    </row>
    <row r="29" spans="1:2" ht="20" customHeight="1" x14ac:dyDescent="0.2">
      <c r="A29" s="137" t="s">
        <v>365</v>
      </c>
      <c r="B29" s="142" t="s">
        <v>366</v>
      </c>
    </row>
    <row r="30" spans="1:2" ht="20" customHeight="1" x14ac:dyDescent="0.2">
      <c r="A30" s="135" t="s">
        <v>367</v>
      </c>
      <c r="B30" s="141" t="s">
        <v>368</v>
      </c>
    </row>
    <row r="31" spans="1:2" ht="20" customHeight="1" x14ac:dyDescent="0.2">
      <c r="A31" s="137" t="s">
        <v>369</v>
      </c>
      <c r="B31" s="138" t="s">
        <v>370</v>
      </c>
    </row>
    <row r="32" spans="1:2" ht="20" customHeight="1" x14ac:dyDescent="0.2">
      <c r="A32" s="135" t="s">
        <v>371</v>
      </c>
      <c r="B32" s="139" t="s">
        <v>383</v>
      </c>
    </row>
    <row r="33" spans="1:2" ht="10" customHeight="1" x14ac:dyDescent="0.2"/>
    <row r="34" spans="1:2" ht="24" customHeight="1" x14ac:dyDescent="0.2">
      <c r="A34" s="255" t="s">
        <v>372</v>
      </c>
      <c r="B34" s="256"/>
    </row>
    <row r="35" spans="1:2" ht="4" customHeight="1" x14ac:dyDescent="0.2"/>
    <row r="36" spans="1:2" ht="20" customHeight="1" x14ac:dyDescent="0.2">
      <c r="A36" s="135" t="s">
        <v>373</v>
      </c>
      <c r="B36" s="139" t="s">
        <v>374</v>
      </c>
    </row>
    <row r="37" spans="1:2" ht="34" customHeight="1" x14ac:dyDescent="0.2">
      <c r="A37" s="137" t="s">
        <v>375</v>
      </c>
      <c r="B37" s="138" t="s">
        <v>419</v>
      </c>
    </row>
    <row r="38" spans="1:2" ht="20" customHeight="1" x14ac:dyDescent="0.2">
      <c r="A38" s="135" t="s">
        <v>376</v>
      </c>
      <c r="B38" s="139" t="s">
        <v>377</v>
      </c>
    </row>
    <row r="39" spans="1:2" ht="10" customHeight="1" x14ac:dyDescent="0.2"/>
    <row r="40" spans="1:2" ht="24" customHeight="1" x14ac:dyDescent="0.2">
      <c r="A40" s="255" t="s">
        <v>378</v>
      </c>
      <c r="B40" s="256"/>
    </row>
    <row r="41" spans="1:2" ht="4" customHeight="1" x14ac:dyDescent="0.2"/>
    <row r="42" spans="1:2" ht="36" customHeight="1" x14ac:dyDescent="0.2">
      <c r="A42" s="262" t="s">
        <v>379</v>
      </c>
      <c r="B42" s="256"/>
    </row>
    <row r="43" spans="1:2" ht="4" customHeight="1" x14ac:dyDescent="0.2"/>
    <row r="44" spans="1:2" ht="20" customHeight="1" x14ac:dyDescent="0.2">
      <c r="A44" s="137" t="s">
        <v>380</v>
      </c>
      <c r="B44" s="140" t="s">
        <v>381</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2" activePane="bottomLeft" state="frozen"/>
      <selection pane="bottomLeft" activeCell="D34" sqref="D34"/>
    </sheetView>
  </sheetViews>
  <sheetFormatPr baseColWidth="10" defaultRowHeight="16" x14ac:dyDescent="0.2"/>
  <cols>
    <col min="1" max="1" width="32.33203125" customWidth="1"/>
    <col min="2" max="5" width="20" customWidth="1"/>
  </cols>
  <sheetData>
    <row r="1" spans="1:5" ht="45" customHeight="1" x14ac:dyDescent="0.2">
      <c r="A1" s="263" t="s">
        <v>62</v>
      </c>
      <c r="B1" s="264"/>
      <c r="C1" s="264"/>
      <c r="D1" s="264"/>
      <c r="E1" s="264"/>
    </row>
    <row r="2" spans="1:5" ht="10" customHeight="1" thickBot="1" x14ac:dyDescent="0.25">
      <c r="A2" s="61"/>
      <c r="B2" s="61"/>
      <c r="C2" s="61"/>
      <c r="D2" s="61"/>
      <c r="E2" s="61"/>
    </row>
    <row r="3" spans="1:5" ht="30" customHeight="1" thickBot="1" x14ac:dyDescent="0.25">
      <c r="A3" s="62" t="s">
        <v>63</v>
      </c>
      <c r="B3" s="63" t="s">
        <v>64</v>
      </c>
      <c r="C3" s="64" t="s">
        <v>65</v>
      </c>
      <c r="D3" s="64"/>
      <c r="E3" s="64"/>
    </row>
    <row r="4" spans="1:5" ht="24" customHeight="1" x14ac:dyDescent="0.2">
      <c r="A4" s="65" t="s">
        <v>272</v>
      </c>
      <c r="B4" s="66">
        <v>3</v>
      </c>
      <c r="C4" s="90">
        <f>B4/B7</f>
        <v>0.15789473684210525</v>
      </c>
    </row>
    <row r="5" spans="1:5" ht="24" customHeight="1" x14ac:dyDescent="0.2">
      <c r="A5" s="67" t="s">
        <v>283</v>
      </c>
      <c r="B5" s="68">
        <v>13</v>
      </c>
      <c r="C5" s="91">
        <f>B5/B7</f>
        <v>0.68421052631578949</v>
      </c>
    </row>
    <row r="6" spans="1:5" ht="24" customHeight="1" thickBot="1" x14ac:dyDescent="0.25">
      <c r="A6" s="69" t="s">
        <v>277</v>
      </c>
      <c r="B6" s="68">
        <v>3</v>
      </c>
      <c r="C6" s="91">
        <f>B6/B7</f>
        <v>0.15789473684210525</v>
      </c>
    </row>
    <row r="7" spans="1:5" ht="24" customHeight="1" thickBot="1" x14ac:dyDescent="0.25">
      <c r="A7" s="70" t="s">
        <v>66</v>
      </c>
      <c r="B7" s="71">
        <f>SUM(B4:B6)</f>
        <v>19</v>
      </c>
      <c r="C7" s="92">
        <f>SUM(C4:C6)</f>
        <v>1</v>
      </c>
    </row>
    <row r="8" spans="1:5" ht="14" customHeight="1" x14ac:dyDescent="0.2">
      <c r="A8" s="61"/>
      <c r="B8" s="61"/>
      <c r="C8" s="61"/>
      <c r="D8" s="61"/>
      <c r="E8" s="61"/>
    </row>
    <row r="9" spans="1:5" ht="30" customHeight="1" thickBot="1" x14ac:dyDescent="0.25">
      <c r="A9" s="72" t="s">
        <v>67</v>
      </c>
      <c r="B9" s="58" t="s">
        <v>8</v>
      </c>
      <c r="C9" s="59" t="s">
        <v>178</v>
      </c>
      <c r="D9" s="60" t="s">
        <v>30</v>
      </c>
      <c r="E9" s="73" t="s">
        <v>68</v>
      </c>
    </row>
    <row r="10" spans="1:5" ht="24" customHeight="1" x14ac:dyDescent="0.2">
      <c r="A10" s="74" t="s">
        <v>322</v>
      </c>
      <c r="B10" s="75">
        <v>2</v>
      </c>
      <c r="C10" s="75">
        <v>3</v>
      </c>
      <c r="D10" s="75">
        <v>0</v>
      </c>
      <c r="E10" s="76">
        <f>SUM(B10:D10)</f>
        <v>5</v>
      </c>
    </row>
    <row r="11" spans="1:5" ht="24" customHeight="1" x14ac:dyDescent="0.2">
      <c r="A11" s="77" t="s">
        <v>392</v>
      </c>
      <c r="B11" s="68">
        <v>0</v>
      </c>
      <c r="C11" s="68">
        <v>7</v>
      </c>
      <c r="D11" s="68">
        <v>1</v>
      </c>
      <c r="E11" s="78">
        <f t="shared" ref="E11:E16" si="0">SUM(B11:D11)</f>
        <v>8</v>
      </c>
    </row>
    <row r="12" spans="1:5" ht="24" customHeight="1" x14ac:dyDescent="0.2">
      <c r="A12" s="79" t="s">
        <v>393</v>
      </c>
      <c r="B12" s="80">
        <v>0</v>
      </c>
      <c r="C12" s="80">
        <v>1</v>
      </c>
      <c r="D12" s="80">
        <v>0</v>
      </c>
      <c r="E12" s="81">
        <f t="shared" si="0"/>
        <v>1</v>
      </c>
    </row>
    <row r="13" spans="1:5" ht="24" customHeight="1" x14ac:dyDescent="0.2">
      <c r="A13" s="82" t="s">
        <v>321</v>
      </c>
      <c r="B13" s="68">
        <v>1</v>
      </c>
      <c r="C13" s="68">
        <v>0</v>
      </c>
      <c r="D13" s="68">
        <v>0</v>
      </c>
      <c r="E13" s="78">
        <v>1</v>
      </c>
    </row>
    <row r="14" spans="1:5" ht="24" customHeight="1" x14ac:dyDescent="0.2">
      <c r="A14" s="79" t="s">
        <v>323</v>
      </c>
      <c r="B14" s="80">
        <v>0</v>
      </c>
      <c r="C14" s="80">
        <v>1</v>
      </c>
      <c r="D14" s="80">
        <v>0</v>
      </c>
      <c r="E14" s="81">
        <v>1</v>
      </c>
    </row>
    <row r="15" spans="1:5" ht="24" customHeight="1" x14ac:dyDescent="0.2">
      <c r="A15" s="82" t="s">
        <v>338</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66</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69</v>
      </c>
      <c r="B19" s="73" t="s">
        <v>64</v>
      </c>
      <c r="C19" s="73" t="s">
        <v>70</v>
      </c>
      <c r="D19" s="73" t="s">
        <v>71</v>
      </c>
      <c r="E19" s="73" t="s">
        <v>72</v>
      </c>
    </row>
    <row r="20" spans="1:5" ht="24" customHeight="1" x14ac:dyDescent="0.2">
      <c r="A20" s="74" t="s">
        <v>322</v>
      </c>
      <c r="B20" s="66">
        <v>5</v>
      </c>
      <c r="C20" s="86">
        <v>2.2000000000000002</v>
      </c>
      <c r="D20" s="66">
        <v>1</v>
      </c>
      <c r="E20" s="87">
        <v>3</v>
      </c>
    </row>
    <row r="21" spans="1:5" ht="24" customHeight="1" x14ac:dyDescent="0.2">
      <c r="A21" s="77" t="s">
        <v>392</v>
      </c>
      <c r="B21" s="68">
        <v>8</v>
      </c>
      <c r="C21" s="88">
        <v>3.75</v>
      </c>
      <c r="D21" s="68">
        <v>3</v>
      </c>
      <c r="E21" s="89">
        <v>5</v>
      </c>
    </row>
    <row r="22" spans="1:5" ht="24" customHeight="1" x14ac:dyDescent="0.2">
      <c r="A22" s="79" t="s">
        <v>393</v>
      </c>
      <c r="B22" s="68">
        <v>1</v>
      </c>
      <c r="C22" s="88">
        <v>4</v>
      </c>
      <c r="D22" s="68">
        <v>4</v>
      </c>
      <c r="E22" s="89">
        <v>4</v>
      </c>
    </row>
    <row r="23" spans="1:5" ht="24" customHeight="1" x14ac:dyDescent="0.2">
      <c r="A23" s="82" t="s">
        <v>321</v>
      </c>
      <c r="B23" s="68">
        <v>1</v>
      </c>
      <c r="C23" s="88">
        <v>1</v>
      </c>
      <c r="D23" s="68">
        <v>1</v>
      </c>
      <c r="E23" s="89">
        <v>1</v>
      </c>
    </row>
    <row r="24" spans="1:5" ht="24" customHeight="1" x14ac:dyDescent="0.2">
      <c r="A24" s="79" t="s">
        <v>323</v>
      </c>
      <c r="B24" s="68">
        <v>1</v>
      </c>
      <c r="C24" s="88">
        <v>3</v>
      </c>
      <c r="D24" s="68">
        <v>3</v>
      </c>
      <c r="E24" s="89">
        <v>3</v>
      </c>
    </row>
    <row r="25" spans="1:5" ht="24" customHeight="1" x14ac:dyDescent="0.2">
      <c r="A25" s="82" t="s">
        <v>338</v>
      </c>
      <c r="B25" s="68">
        <v>1</v>
      </c>
      <c r="C25" s="88">
        <v>3</v>
      </c>
      <c r="D25" s="68">
        <v>3</v>
      </c>
      <c r="E25" s="89">
        <v>3</v>
      </c>
    </row>
    <row r="26" spans="1:5" ht="35" thickBot="1" x14ac:dyDescent="0.25">
      <c r="A26" s="143" t="s">
        <v>390</v>
      </c>
      <c r="B26" s="68">
        <v>2</v>
      </c>
      <c r="C26" s="88">
        <v>5</v>
      </c>
      <c r="D26" s="68">
        <v>5</v>
      </c>
      <c r="E26" s="89">
        <v>5</v>
      </c>
    </row>
    <row r="27" spans="1:5" ht="24" customHeight="1" thickBot="1" x14ac:dyDescent="0.25">
      <c r="A27" s="83" t="s">
        <v>73</v>
      </c>
      <c r="B27" s="84">
        <f>SUM(B20:B26)</f>
        <v>19</v>
      </c>
      <c r="C27" s="130">
        <f>SUMPRODUCT(B20:B26,C20:C26)/SUM(B20:B26)</f>
        <v>3.263157894736842</v>
      </c>
      <c r="D27" s="84">
        <v>1</v>
      </c>
      <c r="E27" s="85">
        <v>5</v>
      </c>
    </row>
    <row r="30" spans="1:5" x14ac:dyDescent="0.2">
      <c r="A30" s="265" t="s">
        <v>425</v>
      </c>
      <c r="B30" s="266"/>
      <c r="C30" s="266"/>
      <c r="D30" s="266"/>
      <c r="E30" s="266"/>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35" activePane="bottomLeft" state="frozen"/>
      <selection pane="bottomLeft" activeCell="D17" sqref="D17"/>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47" t="s">
        <v>167</v>
      </c>
      <c r="B1" s="248"/>
      <c r="C1" s="248"/>
      <c r="D1" s="248"/>
    </row>
    <row r="2" spans="1:4" ht="8" customHeight="1" x14ac:dyDescent="0.2">
      <c r="A2" s="42"/>
      <c r="B2" s="42"/>
      <c r="C2" s="42"/>
      <c r="D2" s="42"/>
    </row>
    <row r="3" spans="1:4" ht="32" customHeight="1" x14ac:dyDescent="0.2">
      <c r="A3" s="245" t="s">
        <v>74</v>
      </c>
      <c r="B3" s="246"/>
      <c r="C3" s="246"/>
      <c r="D3" s="246"/>
    </row>
    <row r="4" spans="1:4" ht="8" customHeight="1" x14ac:dyDescent="0.2">
      <c r="A4" s="42"/>
      <c r="B4" s="42"/>
      <c r="C4" s="42"/>
      <c r="D4" s="42"/>
    </row>
    <row r="5" spans="1:4" ht="19" customHeight="1" x14ac:dyDescent="0.2">
      <c r="A5" s="249" t="s">
        <v>75</v>
      </c>
      <c r="B5" s="250"/>
      <c r="C5" s="250"/>
      <c r="D5" s="250"/>
    </row>
    <row r="6" spans="1:4" ht="8" customHeight="1" x14ac:dyDescent="0.2">
      <c r="A6" s="42"/>
      <c r="B6" s="42"/>
      <c r="C6" s="42"/>
      <c r="D6" s="42"/>
    </row>
    <row r="7" spans="1:4" ht="20" customHeight="1" x14ac:dyDescent="0.2">
      <c r="A7" s="251" t="s">
        <v>76</v>
      </c>
      <c r="B7" s="252"/>
      <c r="C7" s="252"/>
      <c r="D7" s="252"/>
    </row>
    <row r="8" spans="1:4" ht="8" customHeight="1" x14ac:dyDescent="0.2">
      <c r="A8" s="42"/>
      <c r="B8" s="42"/>
      <c r="C8" s="42"/>
      <c r="D8" s="42"/>
    </row>
    <row r="9" spans="1:4" ht="20" customHeight="1" x14ac:dyDescent="0.2">
      <c r="A9" s="253" t="s">
        <v>382</v>
      </c>
      <c r="B9" s="254"/>
      <c r="C9" s="254"/>
      <c r="D9" s="254"/>
    </row>
    <row r="10" spans="1:4" ht="8" customHeight="1" x14ac:dyDescent="0.2">
      <c r="A10" s="42"/>
      <c r="B10" s="42"/>
      <c r="C10" s="42"/>
      <c r="D10" s="42"/>
    </row>
    <row r="11" spans="1:4" ht="32" customHeight="1" x14ac:dyDescent="0.2">
      <c r="A11" s="245" t="s">
        <v>77</v>
      </c>
      <c r="B11" s="246"/>
      <c r="C11" s="246"/>
      <c r="D11" s="246"/>
    </row>
    <row r="12" spans="1:4" ht="8" customHeight="1" x14ac:dyDescent="0.2">
      <c r="A12" s="42"/>
      <c r="B12" s="42"/>
      <c r="C12" s="42"/>
      <c r="D12" s="42"/>
    </row>
    <row r="13" spans="1:4" ht="28" customHeight="1" thickBot="1" x14ac:dyDescent="0.25">
      <c r="A13" s="52" t="s">
        <v>278</v>
      </c>
      <c r="B13" s="41" t="s">
        <v>78</v>
      </c>
      <c r="C13" s="46" t="s">
        <v>79</v>
      </c>
    </row>
    <row r="14" spans="1:4" ht="48" customHeight="1" x14ac:dyDescent="0.2">
      <c r="A14" s="37">
        <v>1</v>
      </c>
      <c r="B14" s="33" t="s">
        <v>80</v>
      </c>
      <c r="C14" s="47" t="s">
        <v>81</v>
      </c>
    </row>
    <row r="15" spans="1:4" ht="63" customHeight="1" x14ac:dyDescent="0.2">
      <c r="A15" s="38">
        <v>2</v>
      </c>
      <c r="B15" s="34" t="s">
        <v>470</v>
      </c>
      <c r="C15" s="48" t="s">
        <v>471</v>
      </c>
    </row>
    <row r="16" spans="1:4" ht="64" x14ac:dyDescent="0.2">
      <c r="A16" s="39">
        <v>3</v>
      </c>
      <c r="B16" s="49" t="s">
        <v>477</v>
      </c>
      <c r="C16" s="49" t="s">
        <v>494</v>
      </c>
    </row>
    <row r="17" spans="1:4" ht="48" customHeight="1" x14ac:dyDescent="0.2">
      <c r="A17" s="38">
        <v>4</v>
      </c>
      <c r="B17" s="34" t="s">
        <v>82</v>
      </c>
      <c r="C17" s="48" t="s">
        <v>386</v>
      </c>
    </row>
    <row r="18" spans="1:4" ht="48" customHeight="1" x14ac:dyDescent="0.2">
      <c r="A18" s="39">
        <v>5</v>
      </c>
      <c r="B18" s="36" t="s">
        <v>83</v>
      </c>
      <c r="C18" s="49" t="s">
        <v>84</v>
      </c>
    </row>
    <row r="19" spans="1:4" ht="48" customHeight="1" x14ac:dyDescent="0.2">
      <c r="A19" s="38">
        <v>6</v>
      </c>
      <c r="B19" s="34" t="s">
        <v>85</v>
      </c>
      <c r="C19" s="48" t="s">
        <v>86</v>
      </c>
    </row>
    <row r="20" spans="1:4" ht="48" x14ac:dyDescent="0.2">
      <c r="A20" s="40">
        <v>7</v>
      </c>
      <c r="B20" s="35" t="s">
        <v>87</v>
      </c>
      <c r="C20" s="50" t="s">
        <v>420</v>
      </c>
    </row>
    <row r="21" spans="1:4" ht="8" customHeight="1" x14ac:dyDescent="0.2">
      <c r="A21" s="42"/>
      <c r="B21" s="42"/>
      <c r="C21" s="42"/>
      <c r="D21" s="42"/>
    </row>
    <row r="22" spans="1:4" ht="32" customHeight="1" x14ac:dyDescent="0.2">
      <c r="A22" s="245" t="s">
        <v>88</v>
      </c>
      <c r="B22" s="246"/>
      <c r="C22" s="246"/>
      <c r="D22" s="246"/>
    </row>
    <row r="23" spans="1:4" ht="8" customHeight="1" x14ac:dyDescent="0.2">
      <c r="A23" s="42"/>
      <c r="B23" s="42"/>
      <c r="C23" s="42"/>
      <c r="D23" s="42"/>
    </row>
    <row r="24" spans="1:4" ht="26" customHeight="1" x14ac:dyDescent="0.2">
      <c r="A24" s="228" t="s">
        <v>89</v>
      </c>
      <c r="B24" s="229"/>
      <c r="C24" s="229"/>
      <c r="D24" s="229"/>
    </row>
    <row r="25" spans="1:4" ht="8" customHeight="1" x14ac:dyDescent="0.2">
      <c r="A25" s="42"/>
      <c r="B25" s="42"/>
      <c r="C25" s="42"/>
      <c r="D25" s="42"/>
    </row>
    <row r="26" spans="1:4" ht="28" customHeight="1" thickBot="1" x14ac:dyDescent="0.25">
      <c r="A26" s="52" t="s">
        <v>90</v>
      </c>
      <c r="B26" s="41" t="s">
        <v>91</v>
      </c>
      <c r="C26" s="46" t="s">
        <v>92</v>
      </c>
    </row>
    <row r="27" spans="1:4" ht="42" customHeight="1" x14ac:dyDescent="0.2">
      <c r="A27" s="53" t="s">
        <v>93</v>
      </c>
      <c r="B27" s="33" t="s">
        <v>94</v>
      </c>
      <c r="C27" s="47" t="s">
        <v>95</v>
      </c>
    </row>
    <row r="28" spans="1:4" ht="42" customHeight="1" x14ac:dyDescent="0.2">
      <c r="A28" s="54" t="s">
        <v>96</v>
      </c>
      <c r="B28" s="34" t="s">
        <v>97</v>
      </c>
      <c r="C28" s="48" t="s">
        <v>98</v>
      </c>
    </row>
    <row r="29" spans="1:4" ht="42" customHeight="1" x14ac:dyDescent="0.2">
      <c r="A29" s="55" t="s">
        <v>99</v>
      </c>
      <c r="B29" s="35" t="s">
        <v>100</v>
      </c>
      <c r="C29" s="50" t="s">
        <v>101</v>
      </c>
    </row>
    <row r="30" spans="1:4" ht="8" customHeight="1" x14ac:dyDescent="0.2">
      <c r="A30" s="42"/>
      <c r="B30" s="42"/>
      <c r="C30" s="42"/>
      <c r="D30" s="42"/>
    </row>
    <row r="31" spans="1:4" ht="26" customHeight="1" x14ac:dyDescent="0.2">
      <c r="A31" s="228" t="s">
        <v>102</v>
      </c>
      <c r="B31" s="229"/>
      <c r="C31" s="229"/>
      <c r="D31" s="229"/>
    </row>
    <row r="32" spans="1:4" ht="8" customHeight="1" x14ac:dyDescent="0.2">
      <c r="A32" s="42"/>
      <c r="B32" s="42"/>
      <c r="C32" s="42"/>
      <c r="D32" s="42"/>
    </row>
    <row r="33" spans="1:4" ht="28" customHeight="1" thickBot="1" x14ac:dyDescent="0.25">
      <c r="A33" s="52" t="s">
        <v>103</v>
      </c>
      <c r="B33" s="41" t="s">
        <v>91</v>
      </c>
      <c r="C33" s="46" t="s">
        <v>92</v>
      </c>
    </row>
    <row r="34" spans="1:4" ht="42" customHeight="1" x14ac:dyDescent="0.2">
      <c r="A34" s="53" t="s">
        <v>104</v>
      </c>
      <c r="B34" s="33" t="s">
        <v>105</v>
      </c>
      <c r="C34" s="47" t="s">
        <v>106</v>
      </c>
    </row>
    <row r="35" spans="1:4" ht="42" customHeight="1" x14ac:dyDescent="0.2">
      <c r="A35" s="54" t="s">
        <v>107</v>
      </c>
      <c r="B35" s="34" t="s">
        <v>108</v>
      </c>
      <c r="C35" s="48" t="s">
        <v>109</v>
      </c>
    </row>
    <row r="36" spans="1:4" ht="42" customHeight="1" x14ac:dyDescent="0.2">
      <c r="A36" s="55" t="s">
        <v>110</v>
      </c>
      <c r="B36" s="34" t="s">
        <v>431</v>
      </c>
      <c r="C36" s="50" t="s">
        <v>432</v>
      </c>
    </row>
    <row r="37" spans="1:4" ht="8" customHeight="1" x14ac:dyDescent="0.2">
      <c r="A37" s="42"/>
      <c r="B37" s="42"/>
      <c r="C37" s="42"/>
      <c r="D37" s="42"/>
    </row>
    <row r="38" spans="1:4" ht="26" customHeight="1" x14ac:dyDescent="0.2">
      <c r="A38" s="228" t="s">
        <v>111</v>
      </c>
      <c r="B38" s="229"/>
      <c r="C38" s="229"/>
      <c r="D38" s="229"/>
    </row>
    <row r="39" spans="1:4" ht="8" customHeight="1" x14ac:dyDescent="0.2">
      <c r="A39" s="42"/>
      <c r="B39" s="42"/>
      <c r="C39" s="42"/>
      <c r="D39" s="42"/>
    </row>
    <row r="40" spans="1:4" ht="28" customHeight="1" thickBot="1" x14ac:dyDescent="0.25">
      <c r="A40" s="52" t="s">
        <v>103</v>
      </c>
      <c r="B40" s="41" t="s">
        <v>91</v>
      </c>
      <c r="C40" s="46" t="s">
        <v>92</v>
      </c>
    </row>
    <row r="41" spans="1:4" ht="48" x14ac:dyDescent="0.2">
      <c r="A41" s="53" t="s">
        <v>112</v>
      </c>
      <c r="B41" s="33" t="s">
        <v>113</v>
      </c>
      <c r="C41" s="47" t="s">
        <v>114</v>
      </c>
    </row>
    <row r="42" spans="1:4" ht="48" x14ac:dyDescent="0.2">
      <c r="A42" s="54" t="s">
        <v>115</v>
      </c>
      <c r="B42" s="34" t="s">
        <v>116</v>
      </c>
      <c r="C42" s="48" t="s">
        <v>117</v>
      </c>
    </row>
    <row r="43" spans="1:4" ht="42" customHeight="1" x14ac:dyDescent="0.2">
      <c r="A43" s="55" t="s">
        <v>118</v>
      </c>
      <c r="B43" s="35" t="s">
        <v>119</v>
      </c>
      <c r="C43" s="50" t="s">
        <v>120</v>
      </c>
    </row>
    <row r="44" spans="1:4" ht="8" customHeight="1" x14ac:dyDescent="0.2">
      <c r="A44" s="42"/>
      <c r="B44" s="42"/>
      <c r="C44" s="42"/>
      <c r="D44" s="42"/>
    </row>
    <row r="45" spans="1:4" ht="26" customHeight="1" x14ac:dyDescent="0.2">
      <c r="A45" s="228" t="s">
        <v>121</v>
      </c>
      <c r="B45" s="229"/>
      <c r="C45" s="229"/>
      <c r="D45" s="229"/>
    </row>
    <row r="46" spans="1:4" ht="8" customHeight="1" x14ac:dyDescent="0.2">
      <c r="A46" s="42"/>
      <c r="B46" s="42"/>
      <c r="C46" s="42"/>
      <c r="D46" s="42"/>
    </row>
    <row r="47" spans="1:4" ht="28" customHeight="1" thickBot="1" x14ac:dyDescent="0.25">
      <c r="A47" s="52" t="s">
        <v>122</v>
      </c>
      <c r="B47" s="41" t="s">
        <v>91</v>
      </c>
      <c r="C47" s="46" t="s">
        <v>123</v>
      </c>
    </row>
    <row r="48" spans="1:4" ht="48" x14ac:dyDescent="0.2">
      <c r="A48" s="53" t="s">
        <v>124</v>
      </c>
      <c r="B48" s="33" t="s">
        <v>125</v>
      </c>
      <c r="C48" s="47" t="s">
        <v>126</v>
      </c>
    </row>
    <row r="49" spans="1:4" ht="42" customHeight="1" x14ac:dyDescent="0.2">
      <c r="A49" s="54" t="s">
        <v>127</v>
      </c>
      <c r="B49" s="34" t="s">
        <v>128</v>
      </c>
      <c r="C49" s="48" t="s">
        <v>129</v>
      </c>
    </row>
    <row r="50" spans="1:4" ht="42" customHeight="1" x14ac:dyDescent="0.2">
      <c r="A50" s="55" t="s">
        <v>130</v>
      </c>
      <c r="B50" s="35" t="s">
        <v>131</v>
      </c>
      <c r="C50" s="50" t="s">
        <v>132</v>
      </c>
    </row>
    <row r="51" spans="1:4" ht="8" customHeight="1" x14ac:dyDescent="0.2">
      <c r="A51" s="42"/>
      <c r="B51" s="42"/>
      <c r="C51" s="42"/>
      <c r="D51" s="42"/>
    </row>
    <row r="52" spans="1:4" ht="8" customHeight="1" x14ac:dyDescent="0.2">
      <c r="A52" s="42"/>
      <c r="B52" s="42"/>
      <c r="C52" s="42"/>
      <c r="D52" s="42"/>
    </row>
    <row r="53" spans="1:4" ht="32" customHeight="1" x14ac:dyDescent="0.2">
      <c r="A53" s="245" t="s">
        <v>133</v>
      </c>
      <c r="B53" s="246"/>
      <c r="C53" s="246"/>
      <c r="D53" s="246"/>
    </row>
    <row r="54" spans="1:4" ht="8" customHeight="1" thickBot="1" x14ac:dyDescent="0.25">
      <c r="A54" s="43"/>
      <c r="B54" s="43"/>
      <c r="C54" s="43"/>
      <c r="D54" s="43"/>
    </row>
    <row r="55" spans="1:4" ht="26" customHeight="1" x14ac:dyDescent="0.2">
      <c r="A55" s="222" t="s">
        <v>134</v>
      </c>
      <c r="B55" s="223"/>
      <c r="C55" s="223"/>
      <c r="D55" s="224"/>
    </row>
    <row r="56" spans="1:4" ht="80" customHeight="1" x14ac:dyDescent="0.2">
      <c r="A56" s="225" t="s">
        <v>391</v>
      </c>
      <c r="B56" s="226"/>
      <c r="C56" s="226"/>
      <c r="D56" s="227"/>
    </row>
    <row r="57" spans="1:4" ht="8" customHeight="1" x14ac:dyDescent="0.2">
      <c r="A57" s="42"/>
      <c r="B57" s="42"/>
      <c r="C57" s="42"/>
      <c r="D57" s="42"/>
    </row>
    <row r="58" spans="1:4" ht="26" customHeight="1" x14ac:dyDescent="0.2">
      <c r="A58" s="228" t="s">
        <v>135</v>
      </c>
      <c r="B58" s="229"/>
      <c r="C58" s="229"/>
      <c r="D58" s="229"/>
    </row>
    <row r="59" spans="1:4" ht="8" customHeight="1" x14ac:dyDescent="0.2">
      <c r="A59" s="42"/>
      <c r="B59" s="44"/>
      <c r="C59" s="44"/>
      <c r="D59" s="42"/>
    </row>
    <row r="60" spans="1:4" ht="28" customHeight="1" thickBot="1" x14ac:dyDescent="0.25">
      <c r="A60" s="56" t="s">
        <v>136</v>
      </c>
      <c r="B60" s="41" t="s">
        <v>137</v>
      </c>
      <c r="C60" s="41" t="s">
        <v>138</v>
      </c>
      <c r="D60" s="51" t="s">
        <v>139</v>
      </c>
    </row>
    <row r="61" spans="1:4" ht="65" customHeight="1" x14ac:dyDescent="0.2">
      <c r="A61" s="53" t="s">
        <v>140</v>
      </c>
      <c r="B61" s="33" t="s">
        <v>141</v>
      </c>
      <c r="C61" s="33" t="s">
        <v>142</v>
      </c>
      <c r="D61" s="47" t="s">
        <v>143</v>
      </c>
    </row>
    <row r="62" spans="1:4" ht="65" customHeight="1" x14ac:dyDescent="0.2">
      <c r="A62" s="54" t="s">
        <v>144</v>
      </c>
      <c r="B62" s="34" t="s">
        <v>145</v>
      </c>
      <c r="C62" s="34" t="s">
        <v>146</v>
      </c>
      <c r="D62" s="48" t="s">
        <v>147</v>
      </c>
    </row>
    <row r="63" spans="1:4" ht="65" customHeight="1" x14ac:dyDescent="0.2">
      <c r="A63" s="57" t="s">
        <v>472</v>
      </c>
      <c r="B63" s="36" t="s">
        <v>466</v>
      </c>
      <c r="C63" s="36" t="s">
        <v>467</v>
      </c>
      <c r="D63" s="49" t="s">
        <v>468</v>
      </c>
    </row>
    <row r="64" spans="1:4" ht="65" customHeight="1" x14ac:dyDescent="0.2">
      <c r="A64" s="54" t="s">
        <v>148</v>
      </c>
      <c r="B64" s="34" t="s">
        <v>149</v>
      </c>
      <c r="C64" s="34" t="s">
        <v>387</v>
      </c>
      <c r="D64" s="48" t="s">
        <v>150</v>
      </c>
    </row>
    <row r="65" spans="1:4" ht="65" customHeight="1" x14ac:dyDescent="0.2">
      <c r="A65" s="57" t="s">
        <v>151</v>
      </c>
      <c r="B65" s="36" t="s">
        <v>152</v>
      </c>
      <c r="C65" s="36" t="s">
        <v>469</v>
      </c>
      <c r="D65" s="49" t="s">
        <v>153</v>
      </c>
    </row>
    <row r="66" spans="1:4" ht="8" customHeight="1" x14ac:dyDescent="0.2">
      <c r="A66" s="42"/>
      <c r="B66" s="42"/>
      <c r="C66" s="42"/>
      <c r="D66" s="42"/>
    </row>
    <row r="67" spans="1:4" ht="26" customHeight="1" x14ac:dyDescent="0.2">
      <c r="A67" s="229" t="s">
        <v>154</v>
      </c>
      <c r="B67" s="229"/>
      <c r="C67" s="229"/>
      <c r="D67" s="229"/>
    </row>
    <row r="68" spans="1:4" ht="8" customHeight="1" x14ac:dyDescent="0.2">
      <c r="A68" s="45"/>
      <c r="B68" s="45"/>
      <c r="C68" s="45"/>
      <c r="D68" s="45"/>
    </row>
    <row r="69" spans="1:4" ht="36" customHeight="1" x14ac:dyDescent="0.2">
      <c r="A69" s="230" t="s">
        <v>155</v>
      </c>
      <c r="B69" s="231"/>
      <c r="C69" s="231"/>
      <c r="D69" s="232"/>
    </row>
    <row r="70" spans="1:4" ht="8" customHeight="1" x14ac:dyDescent="0.2">
      <c r="A70" s="42"/>
      <c r="B70" s="42"/>
      <c r="C70" s="42"/>
      <c r="D70" s="42"/>
    </row>
    <row r="71" spans="1:4" ht="22" customHeight="1" x14ac:dyDescent="0.2">
      <c r="A71" s="233" t="s">
        <v>156</v>
      </c>
      <c r="B71" s="233"/>
      <c r="C71" s="233"/>
      <c r="D71" s="233"/>
    </row>
    <row r="72" spans="1:4" ht="8" customHeight="1" x14ac:dyDescent="0.2">
      <c r="A72" s="42"/>
      <c r="B72" s="42"/>
      <c r="C72" s="42"/>
      <c r="D72" s="42"/>
    </row>
    <row r="73" spans="1:4" ht="22" customHeight="1" x14ac:dyDescent="0.2">
      <c r="A73" s="234" t="s">
        <v>157</v>
      </c>
      <c r="B73" s="234"/>
      <c r="C73" s="234"/>
      <c r="D73" s="234"/>
    </row>
    <row r="74" spans="1:4" ht="22" customHeight="1" x14ac:dyDescent="0.2">
      <c r="A74" s="235" t="s">
        <v>158</v>
      </c>
      <c r="B74" s="235"/>
      <c r="C74" s="235"/>
      <c r="D74" s="235"/>
    </row>
    <row r="75" spans="1:4" ht="22" customHeight="1" x14ac:dyDescent="0.2">
      <c r="A75" s="234" t="s">
        <v>159</v>
      </c>
      <c r="B75" s="234"/>
      <c r="C75" s="234"/>
      <c r="D75" s="234"/>
    </row>
    <row r="76" spans="1:4" ht="26" customHeight="1" x14ac:dyDescent="0.2">
      <c r="A76" s="229" t="s">
        <v>473</v>
      </c>
      <c r="B76" s="229"/>
      <c r="C76" s="229"/>
      <c r="D76" s="229"/>
    </row>
    <row r="77" spans="1:4" ht="41" customHeight="1" x14ac:dyDescent="0.2">
      <c r="A77" s="242" t="s">
        <v>475</v>
      </c>
      <c r="B77" s="242"/>
      <c r="C77" s="242"/>
      <c r="D77" s="242"/>
    </row>
    <row r="78" spans="1:4" x14ac:dyDescent="0.2">
      <c r="A78" s="243"/>
      <c r="B78" s="244"/>
      <c r="C78" s="244"/>
      <c r="D78" s="244"/>
    </row>
    <row r="79" spans="1:4" ht="26" customHeight="1" x14ac:dyDescent="0.2">
      <c r="A79" s="236" t="s">
        <v>160</v>
      </c>
      <c r="B79" s="237"/>
      <c r="C79" s="237"/>
      <c r="D79" s="238"/>
    </row>
    <row r="80" spans="1:4" ht="80" customHeight="1" x14ac:dyDescent="0.2">
      <c r="A80" s="239" t="s">
        <v>279</v>
      </c>
      <c r="B80" s="240"/>
      <c r="C80" s="240"/>
      <c r="D80" s="241"/>
    </row>
    <row r="81" spans="1:4" ht="8" customHeight="1" x14ac:dyDescent="0.2">
      <c r="A81" s="128"/>
      <c r="B81" s="128"/>
      <c r="C81" s="128"/>
      <c r="D81" s="128"/>
    </row>
    <row r="82" spans="1:4" ht="32" customHeight="1" x14ac:dyDescent="0.2">
      <c r="A82" s="221" t="s">
        <v>161</v>
      </c>
      <c r="B82" s="221"/>
      <c r="C82" s="221"/>
      <c r="D82" s="221"/>
    </row>
    <row r="83" spans="1:4" ht="8" customHeight="1" x14ac:dyDescent="0.2">
      <c r="A83" s="129"/>
      <c r="B83" s="129"/>
      <c r="C83" s="129"/>
      <c r="D83" s="129"/>
    </row>
    <row r="84" spans="1:4" ht="60" customHeight="1" x14ac:dyDescent="0.2">
      <c r="A84" s="214" t="s">
        <v>421</v>
      </c>
      <c r="B84" s="215"/>
      <c r="C84" s="215"/>
      <c r="D84" s="216"/>
    </row>
    <row r="85" spans="1:4" ht="8" customHeight="1" x14ac:dyDescent="0.2">
      <c r="A85" s="128"/>
      <c r="B85" s="128"/>
      <c r="C85" s="128"/>
      <c r="D85" s="128"/>
    </row>
    <row r="86" spans="1:4" ht="22" customHeight="1" x14ac:dyDescent="0.2">
      <c r="A86" s="217" t="s">
        <v>162</v>
      </c>
      <c r="B86" s="217"/>
      <c r="C86" s="217"/>
      <c r="D86" s="217"/>
    </row>
    <row r="87" spans="1:4" ht="8" customHeight="1" x14ac:dyDescent="0.2">
      <c r="A87" s="128"/>
      <c r="B87" s="128"/>
      <c r="C87" s="128"/>
      <c r="D87" s="128"/>
    </row>
    <row r="88" spans="1:4" ht="36" customHeight="1" x14ac:dyDescent="0.2">
      <c r="A88" s="218" t="s">
        <v>163</v>
      </c>
      <c r="B88" s="218"/>
      <c r="C88" s="218"/>
      <c r="D88" s="218"/>
    </row>
    <row r="89" spans="1:4" ht="36" customHeight="1" x14ac:dyDescent="0.2">
      <c r="A89" s="219" t="s">
        <v>164</v>
      </c>
      <c r="B89" s="219"/>
      <c r="C89" s="219"/>
      <c r="D89" s="219"/>
    </row>
    <row r="90" spans="1:4" ht="36" customHeight="1" x14ac:dyDescent="0.2">
      <c r="A90" s="218" t="s">
        <v>165</v>
      </c>
      <c r="B90" s="218"/>
      <c r="C90" s="218"/>
      <c r="D90" s="218"/>
    </row>
    <row r="91" spans="1:4" ht="8" customHeight="1" x14ac:dyDescent="0.2">
      <c r="A91" s="128"/>
      <c r="B91" s="128"/>
      <c r="C91" s="128"/>
      <c r="D91" s="128"/>
    </row>
    <row r="92" spans="1:4" ht="20" customHeight="1" thickBot="1" x14ac:dyDescent="0.25">
      <c r="A92" s="220" t="s">
        <v>166</v>
      </c>
      <c r="B92" s="220"/>
      <c r="C92" s="220"/>
      <c r="D92" s="220"/>
    </row>
    <row r="93" spans="1:4" ht="20" customHeight="1" x14ac:dyDescent="0.2">
      <c r="A93" s="211" t="s">
        <v>465</v>
      </c>
      <c r="B93" s="211"/>
      <c r="C93" s="211"/>
      <c r="D93" s="211"/>
    </row>
    <row r="94" spans="1:4" ht="20" customHeight="1" x14ac:dyDescent="0.2">
      <c r="A94" s="212" t="s">
        <v>285</v>
      </c>
      <c r="B94" s="212"/>
      <c r="C94" s="212"/>
      <c r="D94" s="212"/>
    </row>
    <row r="95" spans="1:4" ht="20" customHeight="1" x14ac:dyDescent="0.2">
      <c r="A95" s="213" t="s">
        <v>286</v>
      </c>
      <c r="B95" s="213"/>
      <c r="C95" s="213"/>
      <c r="D95" s="213"/>
    </row>
  </sheetData>
  <mergeCells count="36">
    <mergeCell ref="A53:D53"/>
    <mergeCell ref="A1:D1"/>
    <mergeCell ref="A3:D3"/>
    <mergeCell ref="A5:D5"/>
    <mergeCell ref="A7:D7"/>
    <mergeCell ref="A9:D9"/>
    <mergeCell ref="A11:D11"/>
    <mergeCell ref="A22:D22"/>
    <mergeCell ref="A24:D24"/>
    <mergeCell ref="A31:D31"/>
    <mergeCell ref="A38:D38"/>
    <mergeCell ref="A45:D45"/>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93:D93"/>
    <mergeCell ref="A94:D94"/>
    <mergeCell ref="A95:D95"/>
    <mergeCell ref="A84:D84"/>
    <mergeCell ref="A86:D86"/>
    <mergeCell ref="A88:D88"/>
    <mergeCell ref="A89:D89"/>
    <mergeCell ref="A90:D90"/>
    <mergeCell ref="A92:D92"/>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tabSelected="1" zoomScaleNormal="100" workbookViewId="0">
      <pane ySplit="1" topLeftCell="A2" activePane="bottomLeft" state="frozen"/>
      <selection pane="bottomLeft" activeCell="C59" sqref="C59"/>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68" t="s">
        <v>280</v>
      </c>
      <c r="B1" s="268"/>
      <c r="C1" s="268"/>
      <c r="D1" s="268"/>
      <c r="E1" s="268"/>
    </row>
    <row r="2" spans="1:5" ht="7.5" customHeight="1" x14ac:dyDescent="0.2">
      <c r="A2" s="151"/>
      <c r="B2" s="152"/>
      <c r="C2" s="151"/>
      <c r="D2" s="151"/>
      <c r="E2" s="151"/>
    </row>
    <row r="3" spans="1:5" ht="31.5" customHeight="1" thickBot="1" x14ac:dyDescent="0.25">
      <c r="A3" s="267" t="s">
        <v>168</v>
      </c>
      <c r="B3" s="267"/>
      <c r="C3" s="267"/>
      <c r="D3" s="267"/>
      <c r="E3" s="267"/>
    </row>
    <row r="4" spans="1:5" ht="7.5" customHeight="1" x14ac:dyDescent="0.2">
      <c r="A4" s="153"/>
      <c r="B4" s="154"/>
      <c r="C4" s="153"/>
      <c r="D4" s="153"/>
      <c r="E4" s="153"/>
    </row>
    <row r="5" spans="1:5" ht="36" customHeight="1" x14ac:dyDescent="0.2">
      <c r="A5" s="269" t="s">
        <v>324</v>
      </c>
      <c r="B5" s="269"/>
      <c r="C5" s="269"/>
      <c r="D5" s="269"/>
      <c r="E5" s="269"/>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67" t="s">
        <v>169</v>
      </c>
      <c r="B9" s="267"/>
      <c r="C9" s="267"/>
      <c r="D9" s="267"/>
      <c r="E9" s="267"/>
    </row>
    <row r="10" spans="1:5" ht="7.5" customHeight="1" x14ac:dyDescent="0.2">
      <c r="A10" s="153"/>
      <c r="B10" s="154"/>
      <c r="C10" s="153"/>
      <c r="D10" s="153"/>
      <c r="E10" s="153"/>
    </row>
    <row r="11" spans="1:5" ht="16.5" customHeight="1" thickBot="1" x14ac:dyDescent="0.25">
      <c r="A11" s="155" t="s">
        <v>170</v>
      </c>
      <c r="B11" s="156" t="s">
        <v>171</v>
      </c>
      <c r="C11" s="157" t="s">
        <v>172</v>
      </c>
      <c r="D11" s="157" t="s">
        <v>173</v>
      </c>
      <c r="E11" s="158" t="s">
        <v>174</v>
      </c>
    </row>
    <row r="12" spans="1:5" ht="79.5" customHeight="1" x14ac:dyDescent="0.2">
      <c r="A12" s="159" t="s">
        <v>272</v>
      </c>
      <c r="B12" s="160" t="s">
        <v>175</v>
      </c>
      <c r="C12" s="161" t="s">
        <v>176</v>
      </c>
      <c r="D12" s="161" t="s">
        <v>177</v>
      </c>
      <c r="E12" s="162" t="s">
        <v>459</v>
      </c>
    </row>
    <row r="13" spans="1:5" ht="96" customHeight="1" x14ac:dyDescent="0.2">
      <c r="A13" s="163" t="s">
        <v>283</v>
      </c>
      <c r="B13" s="164" t="s">
        <v>179</v>
      </c>
      <c r="C13" s="165" t="s">
        <v>452</v>
      </c>
      <c r="D13" s="165" t="s">
        <v>180</v>
      </c>
      <c r="E13" s="166" t="s">
        <v>460</v>
      </c>
    </row>
    <row r="14" spans="1:5" ht="96.75" customHeight="1" thickBot="1" x14ac:dyDescent="0.25">
      <c r="A14" s="167" t="s">
        <v>277</v>
      </c>
      <c r="B14" s="168" t="s">
        <v>181</v>
      </c>
      <c r="C14" s="169" t="s">
        <v>433</v>
      </c>
      <c r="D14" s="169" t="s">
        <v>434</v>
      </c>
      <c r="E14" s="210" t="s">
        <v>435</v>
      </c>
    </row>
    <row r="15" spans="1:5" ht="7.5" customHeight="1" x14ac:dyDescent="0.2">
      <c r="A15" s="153"/>
      <c r="B15" s="154"/>
      <c r="C15" s="153"/>
      <c r="D15" s="153"/>
      <c r="E15" s="153"/>
    </row>
    <row r="16" spans="1:5" ht="31.5" customHeight="1" thickBot="1" x14ac:dyDescent="0.25">
      <c r="A16" s="267" t="s">
        <v>182</v>
      </c>
      <c r="B16" s="267"/>
      <c r="C16" s="267"/>
      <c r="D16" s="267"/>
      <c r="E16" s="267"/>
    </row>
    <row r="17" spans="1:5" ht="7.5" customHeight="1" x14ac:dyDescent="0.2">
      <c r="A17" s="153"/>
      <c r="B17" s="154"/>
      <c r="C17" s="153"/>
      <c r="D17" s="153"/>
      <c r="E17" s="153"/>
    </row>
    <row r="18" spans="1:5" x14ac:dyDescent="0.2">
      <c r="A18" s="157" t="s">
        <v>183</v>
      </c>
      <c r="B18" s="170" t="s">
        <v>184</v>
      </c>
      <c r="C18" s="157" t="s">
        <v>185</v>
      </c>
      <c r="D18" s="157"/>
      <c r="E18" s="157"/>
    </row>
    <row r="19" spans="1:5" ht="63.75" customHeight="1" x14ac:dyDescent="0.2">
      <c r="A19" s="171" t="s">
        <v>186</v>
      </c>
      <c r="B19" s="172" t="s">
        <v>187</v>
      </c>
      <c r="C19" s="173" t="s">
        <v>442</v>
      </c>
      <c r="D19" s="151"/>
      <c r="E19" s="151"/>
    </row>
    <row r="20" spans="1:5" ht="84.75" customHeight="1" x14ac:dyDescent="0.2">
      <c r="A20" s="174" t="s">
        <v>188</v>
      </c>
      <c r="B20" s="175" t="s">
        <v>189</v>
      </c>
      <c r="C20" s="174" t="s">
        <v>436</v>
      </c>
      <c r="D20" s="151"/>
      <c r="E20" s="151"/>
    </row>
    <row r="21" spans="1:5" ht="67.5" customHeight="1" x14ac:dyDescent="0.2">
      <c r="A21" s="171" t="s">
        <v>190</v>
      </c>
      <c r="B21" s="172" t="s">
        <v>191</v>
      </c>
      <c r="C21" s="171" t="s">
        <v>394</v>
      </c>
      <c r="D21" s="151"/>
      <c r="E21" s="151"/>
    </row>
    <row r="22" spans="1:5" ht="48" customHeight="1" x14ac:dyDescent="0.2">
      <c r="A22" s="174" t="s">
        <v>192</v>
      </c>
      <c r="B22" s="175" t="s">
        <v>193</v>
      </c>
      <c r="C22" s="176" t="s">
        <v>194</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67" t="s">
        <v>195</v>
      </c>
      <c r="B25" s="267"/>
      <c r="C25" s="267"/>
      <c r="D25" s="267"/>
      <c r="E25" s="267"/>
    </row>
    <row r="26" spans="1:5" ht="7.5" customHeight="1" x14ac:dyDescent="0.2">
      <c r="A26" s="153"/>
      <c r="B26" s="154"/>
      <c r="C26" s="153"/>
      <c r="D26" s="153"/>
      <c r="E26" s="153"/>
    </row>
    <row r="27" spans="1:5" ht="25.5" customHeight="1" x14ac:dyDescent="0.2">
      <c r="A27" s="271" t="s">
        <v>196</v>
      </c>
      <c r="B27" s="271"/>
      <c r="C27" s="271"/>
      <c r="D27" s="271"/>
      <c r="E27" s="271"/>
    </row>
    <row r="28" spans="1:5" ht="7.5" customHeight="1" x14ac:dyDescent="0.2">
      <c r="A28" s="177"/>
      <c r="B28" s="178"/>
      <c r="C28" s="177"/>
      <c r="D28" s="177"/>
      <c r="E28" s="177"/>
    </row>
    <row r="29" spans="1:5" ht="19.5" customHeight="1" x14ac:dyDescent="0.2">
      <c r="A29" s="270" t="s">
        <v>197</v>
      </c>
      <c r="B29" s="270"/>
      <c r="C29" s="270"/>
      <c r="D29" s="270"/>
      <c r="E29" s="270"/>
    </row>
    <row r="30" spans="1:5" ht="19.5" customHeight="1" x14ac:dyDescent="0.2">
      <c r="A30" s="270" t="s">
        <v>198</v>
      </c>
      <c r="B30" s="270"/>
      <c r="C30" s="270"/>
      <c r="D30" s="270"/>
      <c r="E30" s="270"/>
    </row>
    <row r="31" spans="1:5" ht="19.5" customHeight="1" x14ac:dyDescent="0.2">
      <c r="A31" s="272" t="s">
        <v>199</v>
      </c>
      <c r="B31" s="272"/>
      <c r="C31" s="272"/>
      <c r="D31" s="272"/>
      <c r="E31" s="272"/>
    </row>
    <row r="32" spans="1:5" ht="19.5" customHeight="1" x14ac:dyDescent="0.2">
      <c r="A32" s="273" t="s">
        <v>200</v>
      </c>
      <c r="B32" s="273"/>
      <c r="C32" s="273"/>
      <c r="D32" s="273"/>
      <c r="E32" s="273"/>
    </row>
    <row r="33" spans="1:5" ht="19.5" customHeight="1" x14ac:dyDescent="0.2">
      <c r="A33" s="270" t="s">
        <v>201</v>
      </c>
      <c r="B33" s="270"/>
      <c r="C33" s="270"/>
      <c r="D33" s="270"/>
      <c r="E33" s="270"/>
    </row>
    <row r="34" spans="1:5" ht="19.5" customHeight="1" x14ac:dyDescent="0.2">
      <c r="A34" s="270" t="s">
        <v>202</v>
      </c>
      <c r="B34" s="270"/>
      <c r="C34" s="270"/>
      <c r="D34" s="270"/>
      <c r="E34" s="270"/>
    </row>
    <row r="35" spans="1:5" ht="19.5" customHeight="1" x14ac:dyDescent="0.2">
      <c r="A35" s="270" t="s">
        <v>203</v>
      </c>
      <c r="B35" s="270"/>
      <c r="C35" s="270"/>
      <c r="D35" s="270"/>
      <c r="E35" s="270"/>
    </row>
    <row r="36" spans="1:5" ht="19.5" customHeight="1" x14ac:dyDescent="0.2">
      <c r="A36" s="272" t="s">
        <v>204</v>
      </c>
      <c r="B36" s="272"/>
      <c r="C36" s="272"/>
      <c r="D36" s="272"/>
      <c r="E36" s="272"/>
    </row>
    <row r="37" spans="1:5" ht="19.5" customHeight="1" x14ac:dyDescent="0.2">
      <c r="A37" s="273" t="s">
        <v>205</v>
      </c>
      <c r="B37" s="273"/>
      <c r="C37" s="273"/>
      <c r="D37" s="273"/>
      <c r="E37" s="273"/>
    </row>
    <row r="38" spans="1:5" ht="19.5" customHeight="1" x14ac:dyDescent="0.2">
      <c r="A38" s="274" t="s">
        <v>206</v>
      </c>
      <c r="B38" s="274"/>
      <c r="C38" s="274"/>
      <c r="D38" s="274"/>
      <c r="E38" s="274"/>
    </row>
    <row r="39" spans="1:5" ht="19.5" customHeight="1" x14ac:dyDescent="0.2">
      <c r="A39" s="270" t="s">
        <v>207</v>
      </c>
      <c r="B39" s="270"/>
      <c r="C39" s="270"/>
      <c r="D39" s="270"/>
      <c r="E39" s="270"/>
    </row>
    <row r="40" spans="1:5" ht="19.5" customHeight="1" x14ac:dyDescent="0.2">
      <c r="A40" s="270" t="s">
        <v>208</v>
      </c>
      <c r="B40" s="270"/>
      <c r="C40" s="270"/>
      <c r="D40" s="270"/>
      <c r="E40" s="270"/>
    </row>
    <row r="41" spans="1:5" ht="19.5" customHeight="1" x14ac:dyDescent="0.2">
      <c r="A41" s="273" t="s">
        <v>209</v>
      </c>
      <c r="B41" s="273"/>
      <c r="C41" s="273"/>
      <c r="D41" s="273"/>
      <c r="E41" s="273"/>
    </row>
    <row r="42" spans="1:5" ht="19.5" customHeight="1" x14ac:dyDescent="0.2">
      <c r="A42" s="273" t="s">
        <v>210</v>
      </c>
      <c r="B42" s="273"/>
      <c r="C42" s="273"/>
      <c r="D42" s="273"/>
      <c r="E42" s="273"/>
    </row>
    <row r="43" spans="1:5" x14ac:dyDescent="0.2">
      <c r="A43" s="274" t="s">
        <v>211</v>
      </c>
      <c r="B43" s="274"/>
      <c r="C43" s="274"/>
      <c r="D43" s="274"/>
      <c r="E43" s="274"/>
    </row>
    <row r="44" spans="1:5" ht="17" x14ac:dyDescent="0.2">
      <c r="A44" s="179" t="s">
        <v>395</v>
      </c>
      <c r="B44" s="178"/>
      <c r="C44" s="177"/>
      <c r="D44" s="177"/>
      <c r="E44" s="177"/>
    </row>
    <row r="45" spans="1:5" ht="76" thickBot="1" x14ac:dyDescent="0.25">
      <c r="A45" s="180" t="s">
        <v>396</v>
      </c>
    </row>
    <row r="46" spans="1:5" ht="30" customHeight="1" x14ac:dyDescent="0.2">
      <c r="A46" s="182" t="s">
        <v>397</v>
      </c>
    </row>
    <row r="47" spans="1:5" ht="17" thickBot="1" x14ac:dyDescent="0.25">
      <c r="A47" s="151"/>
      <c r="B47" s="152"/>
      <c r="C47" s="151"/>
      <c r="D47" s="151"/>
      <c r="E47" s="151"/>
    </row>
    <row r="48" spans="1:5" ht="16.5" customHeight="1" thickBot="1" x14ac:dyDescent="0.25">
      <c r="A48" s="183" t="s">
        <v>270</v>
      </c>
      <c r="B48" s="184" t="s">
        <v>398</v>
      </c>
      <c r="C48" s="184" t="s">
        <v>399</v>
      </c>
      <c r="D48" s="185" t="s">
        <v>174</v>
      </c>
      <c r="E48" s="186"/>
    </row>
    <row r="49" spans="1:5" ht="96" x14ac:dyDescent="0.2">
      <c r="A49" s="187">
        <v>4</v>
      </c>
      <c r="B49" s="187" t="s">
        <v>400</v>
      </c>
      <c r="C49" s="188" t="s">
        <v>401</v>
      </c>
      <c r="D49" s="188" t="s">
        <v>444</v>
      </c>
    </row>
    <row r="50" spans="1:5" ht="64" x14ac:dyDescent="0.2">
      <c r="A50" s="189">
        <v>3</v>
      </c>
      <c r="B50" s="189" t="s">
        <v>402</v>
      </c>
      <c r="C50" s="190" t="s">
        <v>403</v>
      </c>
      <c r="D50" s="190" t="s">
        <v>445</v>
      </c>
    </row>
    <row r="51" spans="1:5" ht="60" x14ac:dyDescent="0.2">
      <c r="A51" s="191" t="s">
        <v>404</v>
      </c>
      <c r="B51" s="172"/>
      <c r="C51" s="173"/>
      <c r="D51" s="173"/>
    </row>
    <row r="52" spans="1:5" x14ac:dyDescent="0.2">
      <c r="A52" s="177"/>
      <c r="B52" s="178"/>
      <c r="C52" s="177"/>
      <c r="D52" s="177"/>
      <c r="E52" s="177"/>
    </row>
    <row r="53" spans="1:5" ht="20" thickBot="1" x14ac:dyDescent="0.25">
      <c r="A53" s="276" t="s">
        <v>212</v>
      </c>
      <c r="B53" s="276"/>
      <c r="C53" s="276"/>
      <c r="D53" s="276"/>
      <c r="E53" s="276"/>
    </row>
    <row r="54" spans="1:5" x14ac:dyDescent="0.2">
      <c r="A54" s="277" t="s">
        <v>213</v>
      </c>
      <c r="B54" s="277"/>
      <c r="C54" s="277"/>
      <c r="D54" s="277"/>
      <c r="E54" s="277"/>
    </row>
    <row r="55" spans="1:5" ht="31.5" customHeight="1" thickBot="1" x14ac:dyDescent="0.25">
      <c r="A55" s="151"/>
      <c r="B55" s="152"/>
      <c r="C55" s="151"/>
      <c r="D55" s="151"/>
      <c r="E55" s="151"/>
    </row>
    <row r="56" spans="1:5" ht="17" thickBot="1" x14ac:dyDescent="0.25">
      <c r="A56" s="192" t="s">
        <v>214</v>
      </c>
      <c r="B56" s="193" t="s">
        <v>215</v>
      </c>
      <c r="C56" s="194" t="s">
        <v>216</v>
      </c>
      <c r="D56" s="186" t="s">
        <v>217</v>
      </c>
      <c r="E56" s="186"/>
    </row>
    <row r="57" spans="1:5" ht="32" x14ac:dyDescent="0.2">
      <c r="A57" s="171" t="s">
        <v>405</v>
      </c>
      <c r="B57" s="172" t="s">
        <v>218</v>
      </c>
      <c r="C57" s="173" t="s">
        <v>219</v>
      </c>
      <c r="D57" s="173" t="s">
        <v>220</v>
      </c>
    </row>
    <row r="58" spans="1:5" x14ac:dyDescent="0.2">
      <c r="A58" s="174" t="s">
        <v>406</v>
      </c>
      <c r="B58" s="175" t="s">
        <v>221</v>
      </c>
      <c r="C58" s="176" t="s">
        <v>222</v>
      </c>
      <c r="D58" s="176" t="s">
        <v>223</v>
      </c>
    </row>
    <row r="59" spans="1:5" ht="32" x14ac:dyDescent="0.2">
      <c r="A59" s="171" t="s">
        <v>407</v>
      </c>
      <c r="B59" s="172" t="s">
        <v>224</v>
      </c>
      <c r="C59" s="176" t="s">
        <v>476</v>
      </c>
      <c r="D59" s="176" t="s">
        <v>437</v>
      </c>
    </row>
    <row r="60" spans="1:5" ht="32" x14ac:dyDescent="0.2">
      <c r="A60" s="174" t="s">
        <v>408</v>
      </c>
      <c r="B60" s="175" t="s">
        <v>225</v>
      </c>
      <c r="C60" s="176" t="s">
        <v>226</v>
      </c>
      <c r="D60" s="176" t="s">
        <v>227</v>
      </c>
    </row>
    <row r="61" spans="1:5" ht="30" customHeight="1" x14ac:dyDescent="0.2">
      <c r="A61" s="171" t="s">
        <v>409</v>
      </c>
      <c r="B61" s="172" t="s">
        <v>228</v>
      </c>
      <c r="C61" s="173" t="s">
        <v>229</v>
      </c>
      <c r="D61" s="173" t="s">
        <v>438</v>
      </c>
    </row>
    <row r="62" spans="1:5" x14ac:dyDescent="0.2">
      <c r="A62" s="151"/>
      <c r="B62" s="152"/>
      <c r="C62" s="151"/>
      <c r="D62" s="151"/>
      <c r="E62" s="151"/>
    </row>
    <row r="63" spans="1:5" ht="30" customHeight="1" thickBot="1" x14ac:dyDescent="0.25">
      <c r="A63" s="267" t="s">
        <v>230</v>
      </c>
      <c r="B63" s="267"/>
      <c r="C63" s="267"/>
      <c r="D63" s="267"/>
      <c r="E63" s="267"/>
    </row>
    <row r="64" spans="1:5" ht="7.5" customHeight="1" x14ac:dyDescent="0.2">
      <c r="A64" s="153"/>
      <c r="B64" s="154"/>
      <c r="C64" s="153"/>
      <c r="D64" s="153"/>
      <c r="E64" s="153"/>
    </row>
    <row r="65" spans="1:5" ht="25.5" customHeight="1" x14ac:dyDescent="0.2">
      <c r="A65" s="278" t="s">
        <v>231</v>
      </c>
      <c r="B65" s="278"/>
      <c r="C65" s="278"/>
      <c r="D65" s="278"/>
      <c r="E65" s="278"/>
    </row>
    <row r="66" spans="1:5" ht="7.5" customHeight="1" x14ac:dyDescent="0.2">
      <c r="A66" s="195"/>
      <c r="B66" s="196"/>
      <c r="C66" s="195"/>
      <c r="D66" s="195"/>
      <c r="E66" s="195"/>
    </row>
    <row r="67" spans="1:5" ht="24" customHeight="1" x14ac:dyDescent="0.2">
      <c r="A67" s="271" t="s">
        <v>232</v>
      </c>
      <c r="B67" s="271"/>
      <c r="C67" s="271"/>
      <c r="D67" s="271"/>
      <c r="E67" s="271"/>
    </row>
    <row r="68" spans="1:5" x14ac:dyDescent="0.2">
      <c r="A68" s="177"/>
      <c r="B68" s="178"/>
      <c r="C68" s="177"/>
      <c r="D68" s="177"/>
      <c r="E68" s="177"/>
    </row>
    <row r="69" spans="1:5" ht="24" customHeight="1" x14ac:dyDescent="0.2">
      <c r="A69" s="275" t="s">
        <v>410</v>
      </c>
      <c r="B69" s="275"/>
      <c r="C69" s="275"/>
      <c r="D69" s="275"/>
      <c r="E69" s="275"/>
    </row>
    <row r="70" spans="1:5" x14ac:dyDescent="0.2">
      <c r="A70" s="279" t="s">
        <v>411</v>
      </c>
      <c r="B70" s="279"/>
      <c r="C70" s="279"/>
      <c r="D70" s="279"/>
      <c r="E70" s="279"/>
    </row>
    <row r="71" spans="1:5" x14ac:dyDescent="0.2">
      <c r="A71" s="275" t="s">
        <v>412</v>
      </c>
      <c r="B71" s="275"/>
      <c r="C71" s="275"/>
      <c r="D71" s="275"/>
      <c r="E71" s="275"/>
    </row>
    <row r="72" spans="1:5" ht="7.5" customHeight="1" x14ac:dyDescent="0.2">
      <c r="A72" s="197"/>
      <c r="B72" s="197"/>
      <c r="C72" s="151"/>
      <c r="D72" s="151"/>
      <c r="E72" s="151"/>
    </row>
    <row r="73" spans="1:5" ht="30" customHeight="1" x14ac:dyDescent="0.2">
      <c r="A73" s="281" t="s">
        <v>233</v>
      </c>
      <c r="B73" s="281"/>
      <c r="C73" s="281"/>
      <c r="D73" s="281"/>
      <c r="E73" s="281"/>
    </row>
    <row r="74" spans="1:5" x14ac:dyDescent="0.2">
      <c r="A74" s="197"/>
      <c r="B74" s="197"/>
      <c r="C74" s="151"/>
      <c r="D74" s="151"/>
      <c r="E74" s="151"/>
    </row>
    <row r="75" spans="1:5" x14ac:dyDescent="0.2">
      <c r="A75" s="282" t="s">
        <v>234</v>
      </c>
      <c r="B75" s="282"/>
      <c r="C75" s="282"/>
      <c r="D75" s="282"/>
      <c r="E75" s="282"/>
    </row>
    <row r="76" spans="1:5" x14ac:dyDescent="0.2">
      <c r="A76" s="283" t="s">
        <v>235</v>
      </c>
      <c r="B76" s="283"/>
      <c r="C76" s="283"/>
      <c r="D76" s="283"/>
      <c r="E76" s="283"/>
    </row>
    <row r="77" spans="1:5" ht="21.75" customHeight="1" x14ac:dyDescent="0.2">
      <c r="A77" s="282" t="s">
        <v>236</v>
      </c>
      <c r="B77" s="282"/>
      <c r="C77" s="282"/>
      <c r="D77" s="282"/>
      <c r="E77" s="282"/>
    </row>
    <row r="78" spans="1:5" ht="7.5" customHeight="1" x14ac:dyDescent="0.2">
      <c r="A78" s="197"/>
      <c r="B78" s="198"/>
      <c r="C78" s="151"/>
      <c r="D78" s="151"/>
      <c r="E78" s="151"/>
    </row>
    <row r="79" spans="1:5" ht="21.75" customHeight="1" thickBot="1" x14ac:dyDescent="0.25">
      <c r="A79" s="284" t="s">
        <v>237</v>
      </c>
      <c r="B79" s="284"/>
      <c r="C79" s="284"/>
      <c r="D79" s="284"/>
      <c r="E79" s="284"/>
    </row>
    <row r="80" spans="1:5" x14ac:dyDescent="0.2">
      <c r="A80" s="199"/>
      <c r="B80" s="200"/>
      <c r="C80" s="153"/>
      <c r="D80" s="153"/>
      <c r="E80" s="153"/>
    </row>
    <row r="81" spans="1:5" ht="21.75" customHeight="1" thickBot="1" x14ac:dyDescent="0.25">
      <c r="A81" s="285" t="s">
        <v>238</v>
      </c>
      <c r="B81" s="285"/>
      <c r="C81" s="285"/>
      <c r="D81" s="285"/>
      <c r="E81" s="285"/>
    </row>
    <row r="82" spans="1:5" ht="7.5" customHeight="1" x14ac:dyDescent="0.2">
      <c r="A82" s="201"/>
      <c r="B82" s="202"/>
      <c r="C82" s="203"/>
      <c r="D82" s="203"/>
      <c r="E82" s="203"/>
    </row>
    <row r="83" spans="1:5" x14ac:dyDescent="0.2">
      <c r="A83" s="286" t="s">
        <v>239</v>
      </c>
      <c r="B83" s="286"/>
      <c r="C83" s="286"/>
      <c r="D83" s="286"/>
      <c r="E83" s="286"/>
    </row>
    <row r="84" spans="1:5" ht="7.5" customHeight="1" x14ac:dyDescent="0.2">
      <c r="A84" s="197"/>
      <c r="B84" s="198"/>
      <c r="C84" s="151"/>
      <c r="D84" s="151"/>
      <c r="E84" s="151"/>
    </row>
    <row r="85" spans="1:5" x14ac:dyDescent="0.2">
      <c r="A85" s="287" t="s">
        <v>240</v>
      </c>
      <c r="B85" s="287"/>
      <c r="C85" s="287"/>
      <c r="D85" s="287"/>
      <c r="E85" s="287"/>
    </row>
    <row r="86" spans="1:5" x14ac:dyDescent="0.2">
      <c r="A86" s="197"/>
      <c r="B86" s="198"/>
      <c r="C86" s="151"/>
      <c r="D86" s="151"/>
      <c r="E86" s="151"/>
    </row>
    <row r="87" spans="1:5" x14ac:dyDescent="0.2">
      <c r="A87" s="282" t="s">
        <v>241</v>
      </c>
      <c r="B87" s="282"/>
      <c r="C87" s="282"/>
      <c r="D87" s="282"/>
      <c r="E87" s="282"/>
    </row>
    <row r="88" spans="1:5" x14ac:dyDescent="0.2">
      <c r="A88" s="282" t="s">
        <v>242</v>
      </c>
      <c r="B88" s="282"/>
      <c r="C88" s="282"/>
      <c r="D88" s="282"/>
      <c r="E88" s="282"/>
    </row>
    <row r="89" spans="1:5" ht="30" customHeight="1" x14ac:dyDescent="0.2">
      <c r="A89" s="282" t="s">
        <v>243</v>
      </c>
      <c r="B89" s="282"/>
      <c r="C89" s="282"/>
      <c r="D89" s="282"/>
      <c r="E89" s="282"/>
    </row>
    <row r="90" spans="1:5" ht="7.5" customHeight="1" x14ac:dyDescent="0.2">
      <c r="A90" s="197"/>
      <c r="B90" s="198"/>
      <c r="C90" s="151"/>
      <c r="D90" s="151"/>
      <c r="E90" s="151"/>
    </row>
    <row r="91" spans="1:5" ht="21.75" customHeight="1" x14ac:dyDescent="0.2">
      <c r="A91" s="280" t="s">
        <v>413</v>
      </c>
      <c r="B91" s="280"/>
      <c r="C91" s="280"/>
      <c r="D91" s="280"/>
      <c r="E91" s="280"/>
    </row>
    <row r="92" spans="1:5" ht="7.5" customHeight="1" x14ac:dyDescent="0.2">
      <c r="A92" s="197"/>
      <c r="B92" s="198"/>
      <c r="C92" s="151"/>
      <c r="D92" s="151"/>
      <c r="E92" s="151"/>
    </row>
    <row r="93" spans="1:5" ht="21.75" customHeight="1" x14ac:dyDescent="0.2">
      <c r="A93" s="289" t="s">
        <v>414</v>
      </c>
      <c r="B93" s="289"/>
      <c r="C93" s="289"/>
      <c r="D93" s="289"/>
      <c r="E93" s="289"/>
    </row>
    <row r="94" spans="1:5" x14ac:dyDescent="0.2">
      <c r="A94" s="197"/>
      <c r="B94" s="198"/>
      <c r="C94" s="151"/>
      <c r="D94" s="151"/>
      <c r="E94" s="151"/>
    </row>
    <row r="95" spans="1:5" ht="21.75" customHeight="1" thickBot="1" x14ac:dyDescent="0.25">
      <c r="A95" s="290" t="s">
        <v>244</v>
      </c>
      <c r="B95" s="290"/>
      <c r="C95" s="290"/>
      <c r="D95" s="290"/>
      <c r="E95" s="290"/>
    </row>
    <row r="96" spans="1:5" ht="7.5" customHeight="1" x14ac:dyDescent="0.2">
      <c r="A96" s="204"/>
      <c r="B96" s="204"/>
      <c r="C96" s="205"/>
      <c r="D96" s="205"/>
      <c r="E96" s="205"/>
    </row>
    <row r="97" spans="1:5" ht="21.75" customHeight="1" x14ac:dyDescent="0.2">
      <c r="A97" s="286" t="s">
        <v>245</v>
      </c>
      <c r="B97" s="286"/>
      <c r="C97" s="286"/>
      <c r="D97" s="286"/>
      <c r="E97" s="286"/>
    </row>
    <row r="98" spans="1:5" ht="7.5" customHeight="1" x14ac:dyDescent="0.2">
      <c r="A98" s="197"/>
      <c r="B98" s="197"/>
      <c r="C98" s="151"/>
      <c r="D98" s="151"/>
      <c r="E98" s="151"/>
    </row>
    <row r="99" spans="1:5" ht="21.75" customHeight="1" x14ac:dyDescent="0.2">
      <c r="A99" s="287" t="s">
        <v>240</v>
      </c>
      <c r="B99" s="287"/>
      <c r="C99" s="287"/>
      <c r="D99" s="287"/>
      <c r="E99" s="287"/>
    </row>
    <row r="100" spans="1:5" x14ac:dyDescent="0.2">
      <c r="A100" s="282" t="s">
        <v>246</v>
      </c>
      <c r="B100" s="282"/>
      <c r="C100" s="282"/>
      <c r="D100" s="282"/>
      <c r="E100" s="282"/>
    </row>
    <row r="101" spans="1:5" x14ac:dyDescent="0.2">
      <c r="A101" s="282" t="s">
        <v>247</v>
      </c>
      <c r="B101" s="282"/>
      <c r="C101" s="282"/>
      <c r="D101" s="282"/>
      <c r="E101" s="282"/>
    </row>
    <row r="102" spans="1:5" x14ac:dyDescent="0.2">
      <c r="A102" s="282" t="s">
        <v>248</v>
      </c>
      <c r="B102" s="282"/>
      <c r="C102" s="282"/>
      <c r="D102" s="282"/>
      <c r="E102" s="282"/>
    </row>
    <row r="103" spans="1:5" ht="21" customHeight="1" x14ac:dyDescent="0.2">
      <c r="A103" s="287" t="s">
        <v>249</v>
      </c>
      <c r="B103" s="287"/>
      <c r="C103" s="287"/>
      <c r="D103" s="287"/>
      <c r="E103" s="287"/>
    </row>
    <row r="104" spans="1:5" x14ac:dyDescent="0.2">
      <c r="A104" s="288" t="s">
        <v>250</v>
      </c>
      <c r="B104" s="288"/>
      <c r="C104" s="288"/>
      <c r="D104" s="288"/>
      <c r="E104" s="288"/>
    </row>
    <row r="105" spans="1:5" x14ac:dyDescent="0.2">
      <c r="A105" s="288" t="s">
        <v>251</v>
      </c>
      <c r="B105" s="288"/>
      <c r="C105" s="288"/>
      <c r="D105" s="288"/>
      <c r="E105" s="288"/>
    </row>
    <row r="106" spans="1:5" x14ac:dyDescent="0.2">
      <c r="A106" s="288" t="s">
        <v>252</v>
      </c>
      <c r="B106" s="288"/>
      <c r="C106" s="288"/>
      <c r="D106" s="288"/>
      <c r="E106" s="288"/>
    </row>
    <row r="107" spans="1:5" x14ac:dyDescent="0.2">
      <c r="A107" s="288" t="s">
        <v>464</v>
      </c>
      <c r="B107" s="288"/>
      <c r="C107" s="288"/>
      <c r="D107" s="288"/>
      <c r="E107" s="288"/>
    </row>
    <row r="108" spans="1:5" ht="7.5" customHeight="1" x14ac:dyDescent="0.2">
      <c r="A108" s="197"/>
      <c r="B108" s="151"/>
      <c r="C108" s="151"/>
      <c r="D108" s="151"/>
      <c r="E108" s="151"/>
    </row>
    <row r="109" spans="1:5" ht="21.75" customHeight="1" x14ac:dyDescent="0.2">
      <c r="A109" s="280" t="s">
        <v>281</v>
      </c>
      <c r="B109" s="280"/>
      <c r="C109" s="280"/>
      <c r="D109" s="280"/>
      <c r="E109" s="280"/>
    </row>
    <row r="110" spans="1:5" ht="7.5" customHeight="1" x14ac:dyDescent="0.2">
      <c r="A110" s="197"/>
      <c r="B110" s="152"/>
      <c r="C110" s="151"/>
      <c r="D110" s="151"/>
      <c r="E110" s="151"/>
    </row>
    <row r="111" spans="1:5" x14ac:dyDescent="0.2">
      <c r="A111" s="292" t="s">
        <v>415</v>
      </c>
      <c r="B111" s="292"/>
      <c r="C111" s="292"/>
      <c r="D111" s="292"/>
      <c r="E111" s="292"/>
    </row>
    <row r="112" spans="1:5" ht="21.75" customHeight="1" x14ac:dyDescent="0.2">
      <c r="A112" s="197"/>
      <c r="B112" s="152"/>
      <c r="C112" s="151"/>
      <c r="D112" s="151"/>
      <c r="E112" s="151"/>
    </row>
    <row r="113" spans="1:5" ht="21.75" customHeight="1" thickBot="1" x14ac:dyDescent="0.25">
      <c r="A113" s="293" t="s">
        <v>253</v>
      </c>
      <c r="B113" s="293"/>
      <c r="C113" s="293"/>
      <c r="D113" s="293"/>
      <c r="E113" s="293"/>
    </row>
    <row r="114" spans="1:5" ht="7.5" customHeight="1" x14ac:dyDescent="0.2">
      <c r="A114" s="206"/>
      <c r="B114" s="207"/>
      <c r="C114" s="207"/>
      <c r="D114" s="207"/>
      <c r="E114" s="207"/>
    </row>
    <row r="115" spans="1:5" ht="21.75" customHeight="1" x14ac:dyDescent="0.2">
      <c r="A115" s="286" t="s">
        <v>254</v>
      </c>
      <c r="B115" s="286"/>
      <c r="C115" s="286"/>
      <c r="D115" s="286"/>
      <c r="E115" s="286"/>
    </row>
    <row r="116" spans="1:5" ht="7.5" customHeight="1" x14ac:dyDescent="0.2">
      <c r="A116" s="197"/>
      <c r="B116" s="151"/>
      <c r="C116" s="151"/>
      <c r="D116" s="151"/>
      <c r="E116" s="151"/>
    </row>
    <row r="117" spans="1:5" ht="24" customHeight="1" x14ac:dyDescent="0.2">
      <c r="A117" s="287" t="s">
        <v>255</v>
      </c>
      <c r="B117" s="287"/>
      <c r="C117" s="287"/>
      <c r="D117" s="287"/>
      <c r="E117" s="287"/>
    </row>
    <row r="118" spans="1:5" ht="24" customHeight="1" x14ac:dyDescent="0.2">
      <c r="A118" s="282" t="s">
        <v>256</v>
      </c>
      <c r="B118" s="282"/>
      <c r="C118" s="282"/>
      <c r="D118" s="282"/>
      <c r="E118" s="282"/>
    </row>
    <row r="119" spans="1:5" ht="24" customHeight="1" x14ac:dyDescent="0.2">
      <c r="A119" s="282" t="s">
        <v>439</v>
      </c>
      <c r="B119" s="282"/>
      <c r="C119" s="282"/>
      <c r="D119" s="282"/>
      <c r="E119" s="282"/>
    </row>
    <row r="120" spans="1:5" ht="24" customHeight="1" x14ac:dyDescent="0.2">
      <c r="A120" s="282" t="s">
        <v>422</v>
      </c>
      <c r="B120" s="282"/>
      <c r="C120" s="282"/>
      <c r="D120" s="282"/>
      <c r="E120" s="282"/>
    </row>
    <row r="121" spans="1:5" x14ac:dyDescent="0.2">
      <c r="A121" s="197"/>
      <c r="B121" s="151"/>
      <c r="C121" s="151"/>
      <c r="D121" s="151"/>
      <c r="E121" s="151"/>
    </row>
    <row r="122" spans="1:5" x14ac:dyDescent="0.2">
      <c r="A122" s="287" t="s">
        <v>257</v>
      </c>
      <c r="B122" s="287"/>
      <c r="C122" s="287"/>
      <c r="D122" s="287"/>
      <c r="E122" s="287"/>
    </row>
    <row r="123" spans="1:5" x14ac:dyDescent="0.2">
      <c r="A123" s="291" t="s">
        <v>258</v>
      </c>
      <c r="B123" s="291"/>
      <c r="C123" s="291"/>
      <c r="D123" s="291"/>
      <c r="E123" s="291"/>
    </row>
    <row r="124" spans="1:5" x14ac:dyDescent="0.2">
      <c r="A124" s="291" t="s">
        <v>440</v>
      </c>
      <c r="B124" s="291"/>
      <c r="C124" s="291"/>
      <c r="D124" s="291"/>
      <c r="E124" s="291"/>
    </row>
    <row r="125" spans="1:5" x14ac:dyDescent="0.2">
      <c r="A125" s="291" t="s">
        <v>259</v>
      </c>
      <c r="B125" s="291"/>
      <c r="C125" s="291"/>
      <c r="D125" s="291"/>
      <c r="E125" s="291"/>
    </row>
    <row r="126" spans="1:5" x14ac:dyDescent="0.2">
      <c r="A126" s="291" t="s">
        <v>260</v>
      </c>
      <c r="B126" s="291"/>
      <c r="C126" s="291"/>
      <c r="D126" s="291"/>
      <c r="E126" s="291"/>
    </row>
    <row r="127" spans="1:5" x14ac:dyDescent="0.2">
      <c r="A127" s="291" t="s">
        <v>261</v>
      </c>
      <c r="B127" s="291"/>
      <c r="C127" s="291"/>
      <c r="D127" s="291"/>
      <c r="E127" s="291"/>
    </row>
    <row r="128" spans="1:5" ht="7.5" customHeight="1" x14ac:dyDescent="0.2">
      <c r="A128" s="197"/>
      <c r="B128" s="151"/>
      <c r="C128" s="151"/>
      <c r="D128" s="151"/>
      <c r="E128" s="151"/>
    </row>
    <row r="129" spans="1:5" x14ac:dyDescent="0.2">
      <c r="A129" s="280" t="s">
        <v>441</v>
      </c>
      <c r="B129" s="280"/>
      <c r="C129" s="280"/>
      <c r="D129" s="280"/>
      <c r="E129" s="280"/>
    </row>
    <row r="130" spans="1:5" ht="19.5" customHeight="1" x14ac:dyDescent="0.2">
      <c r="A130" s="197"/>
      <c r="B130" s="152"/>
      <c r="C130" s="151"/>
      <c r="D130" s="151"/>
      <c r="E130" s="151"/>
    </row>
    <row r="131" spans="1:5" x14ac:dyDescent="0.2">
      <c r="A131" s="295" t="s">
        <v>416</v>
      </c>
      <c r="B131" s="295"/>
      <c r="C131" s="295"/>
      <c r="D131" s="295"/>
      <c r="E131" s="295"/>
    </row>
    <row r="132" spans="1:5" x14ac:dyDescent="0.2">
      <c r="A132" s="197"/>
      <c r="B132" s="152"/>
      <c r="C132" s="151"/>
      <c r="D132" s="151"/>
      <c r="E132" s="151"/>
    </row>
    <row r="133" spans="1:5" ht="15.75" customHeight="1" x14ac:dyDescent="0.2">
      <c r="A133" s="296" t="s">
        <v>417</v>
      </c>
      <c r="B133" s="296"/>
      <c r="C133" s="296"/>
      <c r="D133" s="296"/>
      <c r="E133" s="296"/>
    </row>
    <row r="134" spans="1:5" x14ac:dyDescent="0.2">
      <c r="A134" s="208"/>
      <c r="B134" s="152"/>
      <c r="C134" s="151"/>
      <c r="D134" s="151"/>
      <c r="E134" s="151"/>
    </row>
    <row r="135" spans="1:5" ht="15.75" customHeight="1" x14ac:dyDescent="0.2">
      <c r="A135" s="297" t="s">
        <v>443</v>
      </c>
      <c r="B135" s="297"/>
      <c r="C135" s="297"/>
      <c r="D135" s="297"/>
      <c r="E135" s="297"/>
    </row>
    <row r="136" spans="1:5" ht="15.75" customHeight="1" x14ac:dyDescent="0.2">
      <c r="A136" s="294" t="s">
        <v>418</v>
      </c>
      <c r="B136" s="294"/>
      <c r="C136" s="294"/>
      <c r="D136" s="294"/>
      <c r="E136" s="294"/>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3" activePane="bottomRight" state="frozen"/>
      <selection pane="topRight" activeCell="B1" sqref="B1"/>
      <selection pane="bottomLeft" activeCell="A3" sqref="A3"/>
      <selection pane="bottomRight" activeCell="F9" sqref="F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284</v>
      </c>
      <c r="B1" s="132"/>
      <c r="C1" s="132"/>
      <c r="D1" s="132"/>
      <c r="E1" s="132"/>
      <c r="F1" s="132"/>
      <c r="G1" s="132"/>
      <c r="H1" s="132"/>
      <c r="I1" s="133"/>
    </row>
    <row r="2" spans="1:20" s="3" customFormat="1" ht="19" x14ac:dyDescent="0.2">
      <c r="A2" s="11" t="s">
        <v>0</v>
      </c>
      <c r="B2" s="9" t="s">
        <v>295</v>
      </c>
      <c r="C2" s="9" t="s">
        <v>296</v>
      </c>
      <c r="D2" s="9" t="s">
        <v>1</v>
      </c>
      <c r="E2" s="9" t="s">
        <v>2</v>
      </c>
      <c r="F2" s="9" t="s">
        <v>3</v>
      </c>
      <c r="G2" s="9" t="s">
        <v>4</v>
      </c>
      <c r="H2" s="9" t="s">
        <v>5</v>
      </c>
      <c r="I2" s="10" t="s">
        <v>6</v>
      </c>
    </row>
    <row r="3" spans="1:20" ht="85" x14ac:dyDescent="0.2">
      <c r="A3" s="146">
        <v>1.1000000000000001</v>
      </c>
      <c r="B3" s="12" t="s">
        <v>7</v>
      </c>
      <c r="C3" s="13" t="s">
        <v>299</v>
      </c>
      <c r="D3" s="22" t="s">
        <v>272</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300</v>
      </c>
      <c r="D4" s="22" t="s">
        <v>272</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320</v>
      </c>
      <c r="D5" s="23" t="s">
        <v>283</v>
      </c>
      <c r="E5" s="19">
        <v>3</v>
      </c>
      <c r="F5" s="13" t="s">
        <v>19</v>
      </c>
      <c r="G5" s="13" t="s">
        <v>20</v>
      </c>
      <c r="H5" s="13" t="s">
        <v>21</v>
      </c>
      <c r="I5" s="14" t="s">
        <v>22</v>
      </c>
      <c r="J5" s="2"/>
      <c r="K5" s="2"/>
      <c r="L5" s="2"/>
      <c r="M5" s="2"/>
      <c r="N5" s="2"/>
      <c r="O5" s="2"/>
      <c r="P5" s="2"/>
      <c r="Q5" s="2"/>
      <c r="R5" s="2"/>
      <c r="S5" s="2"/>
      <c r="T5" s="2"/>
    </row>
    <row r="6" spans="1:20" ht="68" x14ac:dyDescent="0.2">
      <c r="A6" s="147">
        <v>1.4</v>
      </c>
      <c r="B6" s="16" t="s">
        <v>287</v>
      </c>
      <c r="C6" s="16" t="s">
        <v>301</v>
      </c>
      <c r="D6" s="23" t="s">
        <v>283</v>
      </c>
      <c r="E6" s="20">
        <v>3</v>
      </c>
      <c r="F6" s="16" t="s">
        <v>23</v>
      </c>
      <c r="G6" s="16" t="s">
        <v>24</v>
      </c>
      <c r="H6" s="16" t="s">
        <v>25</v>
      </c>
      <c r="I6" s="17" t="s">
        <v>26</v>
      </c>
      <c r="J6" s="2"/>
      <c r="K6" s="2"/>
      <c r="L6" s="2"/>
      <c r="M6" s="2"/>
      <c r="N6" s="2"/>
      <c r="O6" s="2"/>
      <c r="P6" s="2"/>
      <c r="Q6" s="2"/>
      <c r="R6" s="2"/>
      <c r="S6" s="2"/>
      <c r="T6" s="2"/>
    </row>
    <row r="7" spans="1:20" ht="68" x14ac:dyDescent="0.2">
      <c r="A7" s="146">
        <v>1.5</v>
      </c>
      <c r="B7" s="13" t="s">
        <v>288</v>
      </c>
      <c r="C7" s="13" t="s">
        <v>319</v>
      </c>
      <c r="D7" s="23" t="s">
        <v>283</v>
      </c>
      <c r="E7" s="19">
        <v>3</v>
      </c>
      <c r="F7" s="13" t="s">
        <v>23</v>
      </c>
      <c r="G7" s="13" t="s">
        <v>27</v>
      </c>
      <c r="H7" s="13" t="s">
        <v>28</v>
      </c>
      <c r="I7" s="123" t="s">
        <v>29</v>
      </c>
      <c r="J7" s="126"/>
      <c r="K7" s="2"/>
      <c r="L7" s="2"/>
      <c r="M7" s="2"/>
      <c r="N7" s="2"/>
      <c r="O7" s="2"/>
      <c r="P7" s="2"/>
      <c r="Q7" s="2"/>
      <c r="R7" s="2"/>
      <c r="S7" s="2"/>
      <c r="T7" s="2"/>
    </row>
    <row r="8" spans="1:20" ht="119" x14ac:dyDescent="0.2">
      <c r="A8" s="147">
        <v>2.1</v>
      </c>
      <c r="B8" s="16" t="s">
        <v>289</v>
      </c>
      <c r="C8" s="16" t="s">
        <v>302</v>
      </c>
      <c r="D8" s="23" t="s">
        <v>283</v>
      </c>
      <c r="E8" s="20">
        <v>4</v>
      </c>
      <c r="F8" s="16" t="s">
        <v>461</v>
      </c>
      <c r="G8" s="16" t="s">
        <v>478</v>
      </c>
      <c r="H8" s="16" t="s">
        <v>479</v>
      </c>
      <c r="I8" s="16" t="s">
        <v>462</v>
      </c>
      <c r="J8" s="126"/>
      <c r="K8" s="2"/>
      <c r="L8" s="2"/>
      <c r="M8" s="2"/>
      <c r="N8" s="2"/>
      <c r="O8" s="2"/>
      <c r="P8" s="2"/>
      <c r="Q8" s="2"/>
      <c r="R8" s="2"/>
      <c r="S8" s="2"/>
      <c r="T8" s="2"/>
    </row>
    <row r="9" spans="1:20" ht="187" x14ac:dyDescent="0.2">
      <c r="A9" s="146">
        <v>2.2000000000000002</v>
      </c>
      <c r="B9" s="13" t="s">
        <v>290</v>
      </c>
      <c r="C9" s="13" t="s">
        <v>303</v>
      </c>
      <c r="D9" s="23" t="s">
        <v>283</v>
      </c>
      <c r="E9" s="19">
        <v>4</v>
      </c>
      <c r="F9" s="13" t="s">
        <v>453</v>
      </c>
      <c r="G9" s="13" t="s">
        <v>480</v>
      </c>
      <c r="H9" s="13" t="s">
        <v>481</v>
      </c>
      <c r="I9" s="13" t="s">
        <v>454</v>
      </c>
      <c r="J9" s="126"/>
      <c r="K9" s="2"/>
      <c r="L9" s="2"/>
      <c r="M9" s="2"/>
      <c r="N9" s="2"/>
      <c r="O9" s="2"/>
      <c r="P9" s="2"/>
      <c r="Q9" s="2"/>
      <c r="R9" s="2"/>
      <c r="S9" s="2"/>
      <c r="T9" s="2"/>
    </row>
    <row r="10" spans="1:20" ht="272" x14ac:dyDescent="0.2">
      <c r="A10" s="147">
        <v>2.2999999999999998</v>
      </c>
      <c r="B10" s="16" t="s">
        <v>291</v>
      </c>
      <c r="C10" s="16" t="s">
        <v>304</v>
      </c>
      <c r="D10" s="23" t="s">
        <v>283</v>
      </c>
      <c r="E10" s="20">
        <v>4</v>
      </c>
      <c r="F10" s="16" t="s">
        <v>455</v>
      </c>
      <c r="G10" s="98" t="s">
        <v>482</v>
      </c>
      <c r="H10" s="16" t="s">
        <v>483</v>
      </c>
      <c r="I10" s="16" t="s">
        <v>456</v>
      </c>
      <c r="J10" s="126"/>
      <c r="K10" s="2"/>
      <c r="L10" s="2"/>
      <c r="M10" s="2"/>
      <c r="N10" s="2"/>
      <c r="O10" s="2"/>
      <c r="P10" s="2"/>
      <c r="Q10" s="2"/>
      <c r="R10" s="2"/>
      <c r="S10" s="2"/>
      <c r="T10" s="2"/>
    </row>
    <row r="11" spans="1:20" ht="119" x14ac:dyDescent="0.2">
      <c r="A11" s="146">
        <v>2.4</v>
      </c>
      <c r="B11" s="12" t="s">
        <v>31</v>
      </c>
      <c r="C11" s="13" t="s">
        <v>305</v>
      </c>
      <c r="D11" s="23" t="s">
        <v>283</v>
      </c>
      <c r="E11" s="19">
        <v>4</v>
      </c>
      <c r="F11" s="13" t="s">
        <v>424</v>
      </c>
      <c r="G11" s="13" t="s">
        <v>484</v>
      </c>
      <c r="H11" s="13" t="s">
        <v>485</v>
      </c>
      <c r="I11" s="123" t="s">
        <v>486</v>
      </c>
      <c r="J11" s="126"/>
      <c r="K11" s="2"/>
      <c r="L11" s="2"/>
      <c r="M11" s="2"/>
      <c r="N11" s="2"/>
      <c r="O11" s="2"/>
      <c r="P11" s="2"/>
      <c r="Q11" s="2"/>
      <c r="R11" s="2"/>
      <c r="S11" s="2"/>
      <c r="T11" s="2"/>
    </row>
    <row r="12" spans="1:20" ht="85" x14ac:dyDescent="0.2">
      <c r="A12" s="147">
        <v>2.5</v>
      </c>
      <c r="B12" s="15" t="s">
        <v>32</v>
      </c>
      <c r="C12" s="16" t="s">
        <v>306</v>
      </c>
      <c r="D12" s="24" t="s">
        <v>277</v>
      </c>
      <c r="E12" s="20">
        <v>5</v>
      </c>
      <c r="F12" s="16" t="s">
        <v>429</v>
      </c>
      <c r="G12" s="16" t="s">
        <v>488</v>
      </c>
      <c r="H12" s="16" t="s">
        <v>487</v>
      </c>
      <c r="I12" s="122" t="s">
        <v>430</v>
      </c>
      <c r="J12" s="126"/>
      <c r="K12" s="2"/>
      <c r="L12" s="2"/>
      <c r="M12" s="2"/>
      <c r="N12" s="2"/>
      <c r="O12" s="2"/>
      <c r="P12" s="2"/>
      <c r="Q12" s="2"/>
      <c r="R12" s="2"/>
      <c r="S12" s="2"/>
      <c r="T12" s="2"/>
    </row>
    <row r="13" spans="1:20" ht="153" x14ac:dyDescent="0.2">
      <c r="A13" s="146">
        <v>2.6</v>
      </c>
      <c r="B13" s="12" t="s">
        <v>33</v>
      </c>
      <c r="C13" s="13" t="s">
        <v>307</v>
      </c>
      <c r="D13" s="23" t="s">
        <v>283</v>
      </c>
      <c r="E13" s="19">
        <v>3</v>
      </c>
      <c r="F13" s="13" t="s">
        <v>426</v>
      </c>
      <c r="G13" s="13" t="s">
        <v>489</v>
      </c>
      <c r="H13" s="13" t="s">
        <v>490</v>
      </c>
      <c r="I13" s="123" t="s">
        <v>428</v>
      </c>
      <c r="J13" s="126"/>
      <c r="K13" s="2"/>
      <c r="L13" s="2"/>
      <c r="M13" s="2"/>
      <c r="N13" s="2"/>
      <c r="O13" s="2"/>
      <c r="P13" s="2"/>
      <c r="Q13" s="2"/>
      <c r="R13" s="2"/>
      <c r="S13" s="2"/>
      <c r="T13" s="2"/>
    </row>
    <row r="14" spans="1:20" ht="68" x14ac:dyDescent="0.2">
      <c r="A14" s="147">
        <v>2.7</v>
      </c>
      <c r="B14" s="15" t="s">
        <v>34</v>
      </c>
      <c r="C14" s="16" t="s">
        <v>308</v>
      </c>
      <c r="D14" s="23" t="s">
        <v>283</v>
      </c>
      <c r="E14" s="20">
        <v>3</v>
      </c>
      <c r="F14" s="16" t="s">
        <v>35</v>
      </c>
      <c r="G14" s="16" t="s">
        <v>36</v>
      </c>
      <c r="H14" s="16" t="s">
        <v>37</v>
      </c>
      <c r="I14" s="122" t="s">
        <v>38</v>
      </c>
      <c r="J14" s="126"/>
      <c r="K14" s="2"/>
      <c r="L14" s="2"/>
      <c r="M14" s="2"/>
      <c r="N14" s="2"/>
      <c r="O14" s="2"/>
      <c r="P14" s="2"/>
      <c r="Q14" s="2"/>
      <c r="R14" s="2"/>
      <c r="S14" s="2"/>
      <c r="T14" s="2"/>
    </row>
    <row r="15" spans="1:20" ht="119" x14ac:dyDescent="0.2">
      <c r="A15" s="146">
        <v>2.8</v>
      </c>
      <c r="B15" s="12" t="s">
        <v>39</v>
      </c>
      <c r="C15" s="13" t="s">
        <v>309</v>
      </c>
      <c r="D15" s="23" t="s">
        <v>283</v>
      </c>
      <c r="E15" s="19">
        <v>3</v>
      </c>
      <c r="F15" s="13" t="s">
        <v>262</v>
      </c>
      <c r="G15" s="13" t="s">
        <v>264</v>
      </c>
      <c r="H15" s="13" t="s">
        <v>265</v>
      </c>
      <c r="I15" s="123" t="s">
        <v>263</v>
      </c>
      <c r="J15" s="126"/>
      <c r="K15" s="2"/>
      <c r="L15" s="2"/>
      <c r="M15" s="2"/>
      <c r="N15" s="2"/>
      <c r="O15" s="2"/>
      <c r="P15" s="2"/>
      <c r="Q15" s="2"/>
      <c r="R15" s="2"/>
      <c r="S15" s="2"/>
      <c r="T15" s="2"/>
    </row>
    <row r="16" spans="1:20" ht="97" customHeight="1" x14ac:dyDescent="0.2">
      <c r="A16" s="147">
        <v>3.1</v>
      </c>
      <c r="B16" s="16" t="s">
        <v>292</v>
      </c>
      <c r="C16" s="16" t="s">
        <v>310</v>
      </c>
      <c r="D16" s="23" t="s">
        <v>283</v>
      </c>
      <c r="E16" s="28">
        <v>4</v>
      </c>
      <c r="F16" s="16" t="s">
        <v>316</v>
      </c>
      <c r="G16" s="16" t="s">
        <v>317</v>
      </c>
      <c r="H16" s="16" t="s">
        <v>44</v>
      </c>
      <c r="I16" s="122" t="s">
        <v>318</v>
      </c>
      <c r="J16" s="126"/>
      <c r="K16" s="2"/>
      <c r="L16" s="2"/>
      <c r="M16" s="2"/>
      <c r="N16" s="2"/>
      <c r="O16" s="2"/>
      <c r="P16" s="2"/>
      <c r="Q16" s="2"/>
      <c r="R16" s="2"/>
      <c r="S16" s="2"/>
      <c r="T16" s="2"/>
    </row>
    <row r="17" spans="1:20" ht="85" x14ac:dyDescent="0.2">
      <c r="A17" s="146">
        <v>4.0999999999999996</v>
      </c>
      <c r="B17" s="13" t="s">
        <v>293</v>
      </c>
      <c r="C17" s="13" t="s">
        <v>315</v>
      </c>
      <c r="D17" s="22" t="s">
        <v>272</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294</v>
      </c>
      <c r="C18" s="16" t="s">
        <v>311</v>
      </c>
      <c r="D18" s="23" t="s">
        <v>283</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312</v>
      </c>
      <c r="D19" s="23" t="s">
        <v>283</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297</v>
      </c>
      <c r="C20" s="13" t="s">
        <v>313</v>
      </c>
      <c r="D20" s="24" t="s">
        <v>277</v>
      </c>
      <c r="E20" s="19">
        <v>5</v>
      </c>
      <c r="F20" s="18" t="s">
        <v>446</v>
      </c>
      <c r="G20" s="18" t="s">
        <v>491</v>
      </c>
      <c r="H20" s="18" t="s">
        <v>450</v>
      </c>
      <c r="I20" s="125" t="s">
        <v>447</v>
      </c>
      <c r="J20" s="126"/>
      <c r="K20" s="2"/>
      <c r="L20" s="2"/>
      <c r="M20" s="2"/>
      <c r="N20" s="2"/>
      <c r="O20" s="2"/>
      <c r="P20" s="2"/>
      <c r="Q20" s="2"/>
      <c r="R20" s="2"/>
      <c r="S20" s="2"/>
      <c r="T20" s="2"/>
    </row>
    <row r="21" spans="1:20" ht="85" x14ac:dyDescent="0.2">
      <c r="A21" s="149" t="s">
        <v>58</v>
      </c>
      <c r="B21" s="18" t="s">
        <v>298</v>
      </c>
      <c r="C21" s="18" t="s">
        <v>314</v>
      </c>
      <c r="D21" s="25" t="s">
        <v>277</v>
      </c>
      <c r="E21" s="21">
        <v>5</v>
      </c>
      <c r="F21" s="300" t="s">
        <v>60</v>
      </c>
      <c r="G21" s="300" t="s">
        <v>61</v>
      </c>
      <c r="H21" s="300" t="s">
        <v>451</v>
      </c>
      <c r="I21" s="301" t="s">
        <v>448</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C16" activePane="bottomRight" state="frozen"/>
      <selection pane="topRight" activeCell="B1" sqref="B1"/>
      <selection pane="bottomLeft" activeCell="A3" sqref="A3"/>
      <selection pane="bottomRight" activeCell="I21" sqref="I21"/>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8" t="s">
        <v>282</v>
      </c>
      <c r="B1" s="299"/>
      <c r="C1" s="299"/>
      <c r="D1" s="299"/>
      <c r="E1" s="299"/>
      <c r="F1" s="299"/>
      <c r="G1" s="299"/>
      <c r="H1" s="299"/>
      <c r="I1" s="299"/>
      <c r="J1" s="299"/>
      <c r="K1" s="26"/>
    </row>
    <row r="2" spans="1:12" s="121" customFormat="1" ht="35" customHeight="1" x14ac:dyDescent="0.2">
      <c r="A2" s="115" t="s">
        <v>337</v>
      </c>
      <c r="B2" s="116" t="s">
        <v>336</v>
      </c>
      <c r="C2" s="117" t="s">
        <v>266</v>
      </c>
      <c r="D2" s="117" t="s">
        <v>1</v>
      </c>
      <c r="E2" s="117" t="s">
        <v>267</v>
      </c>
      <c r="F2" s="117" t="s">
        <v>268</v>
      </c>
      <c r="G2" s="117" t="s">
        <v>5</v>
      </c>
      <c r="H2" s="117" t="s">
        <v>269</v>
      </c>
      <c r="I2" s="118" t="s">
        <v>6</v>
      </c>
      <c r="J2" s="119" t="s">
        <v>270</v>
      </c>
      <c r="K2" s="120"/>
    </row>
    <row r="3" spans="1:12" s="6" customFormat="1" ht="100" customHeight="1" x14ac:dyDescent="0.2">
      <c r="A3" s="144">
        <v>1.1000000000000001</v>
      </c>
      <c r="B3" s="93" t="s">
        <v>7</v>
      </c>
      <c r="C3" s="94" t="s">
        <v>271</v>
      </c>
      <c r="D3" s="95" t="s">
        <v>272</v>
      </c>
      <c r="E3" s="94" t="s">
        <v>9</v>
      </c>
      <c r="F3" s="94" t="s">
        <v>10</v>
      </c>
      <c r="G3" s="94" t="s">
        <v>11</v>
      </c>
      <c r="H3" s="94" t="s">
        <v>495</v>
      </c>
      <c r="I3" s="96" t="s">
        <v>12</v>
      </c>
      <c r="J3" s="109" t="s">
        <v>339</v>
      </c>
      <c r="K3" s="8"/>
      <c r="L3" s="8"/>
    </row>
    <row r="4" spans="1:12" s="6" customFormat="1" ht="100" customHeight="1" x14ac:dyDescent="0.2">
      <c r="A4" s="145">
        <v>1.2</v>
      </c>
      <c r="B4" s="97" t="s">
        <v>13</v>
      </c>
      <c r="C4" s="98" t="s">
        <v>271</v>
      </c>
      <c r="D4" s="95" t="s">
        <v>272</v>
      </c>
      <c r="E4" s="98" t="s">
        <v>14</v>
      </c>
      <c r="F4" s="98" t="s">
        <v>15</v>
      </c>
      <c r="G4" s="98" t="s">
        <v>16</v>
      </c>
      <c r="H4" s="98" t="s">
        <v>496</v>
      </c>
      <c r="I4" s="99" t="s">
        <v>17</v>
      </c>
      <c r="J4" s="110" t="s">
        <v>339</v>
      </c>
      <c r="K4" s="8"/>
      <c r="L4" s="8"/>
    </row>
    <row r="5" spans="1:12" s="6" customFormat="1" ht="100" customHeight="1" x14ac:dyDescent="0.2">
      <c r="A5" s="144">
        <v>1.3</v>
      </c>
      <c r="B5" s="93" t="s">
        <v>18</v>
      </c>
      <c r="C5" s="94" t="s">
        <v>271</v>
      </c>
      <c r="D5" s="100" t="s">
        <v>283</v>
      </c>
      <c r="E5" s="94" t="s">
        <v>19</v>
      </c>
      <c r="F5" s="94" t="s">
        <v>20</v>
      </c>
      <c r="G5" s="94" t="s">
        <v>21</v>
      </c>
      <c r="H5" s="94" t="s">
        <v>497</v>
      </c>
      <c r="I5" s="96" t="s">
        <v>22</v>
      </c>
      <c r="J5" s="109" t="s">
        <v>274</v>
      </c>
      <c r="K5" s="8"/>
      <c r="L5" s="8"/>
    </row>
    <row r="6" spans="1:12" s="6" customFormat="1" ht="100" customHeight="1" x14ac:dyDescent="0.2">
      <c r="A6" s="145">
        <v>1.4</v>
      </c>
      <c r="B6" s="97" t="s">
        <v>287</v>
      </c>
      <c r="C6" s="98" t="s">
        <v>271</v>
      </c>
      <c r="D6" s="100" t="s">
        <v>283</v>
      </c>
      <c r="E6" s="98" t="s">
        <v>23</v>
      </c>
      <c r="F6" s="98" t="s">
        <v>24</v>
      </c>
      <c r="G6" s="98" t="s">
        <v>25</v>
      </c>
      <c r="H6" s="98" t="s">
        <v>498</v>
      </c>
      <c r="I6" s="99" t="s">
        <v>26</v>
      </c>
      <c r="J6" s="110" t="s">
        <v>274</v>
      </c>
      <c r="K6" s="8"/>
      <c r="L6" s="8"/>
    </row>
    <row r="7" spans="1:12" s="6" customFormat="1" ht="100" customHeight="1" x14ac:dyDescent="0.2">
      <c r="A7" s="144">
        <v>1.5</v>
      </c>
      <c r="B7" s="93" t="s">
        <v>288</v>
      </c>
      <c r="C7" s="94" t="s">
        <v>271</v>
      </c>
      <c r="D7" s="100" t="s">
        <v>283</v>
      </c>
      <c r="E7" s="94" t="s">
        <v>23</v>
      </c>
      <c r="F7" s="94" t="s">
        <v>27</v>
      </c>
      <c r="G7" s="94" t="s">
        <v>28</v>
      </c>
      <c r="H7" s="94" t="s">
        <v>499</v>
      </c>
      <c r="I7" s="96" t="s">
        <v>29</v>
      </c>
      <c r="J7" s="111" t="s">
        <v>274</v>
      </c>
      <c r="K7" s="8"/>
      <c r="L7" s="8"/>
    </row>
    <row r="8" spans="1:12" s="6" customFormat="1" ht="119" x14ac:dyDescent="0.2">
      <c r="A8" s="145">
        <v>2.1</v>
      </c>
      <c r="B8" s="97" t="s">
        <v>289</v>
      </c>
      <c r="C8" s="98" t="s">
        <v>275</v>
      </c>
      <c r="D8" s="100" t="s">
        <v>283</v>
      </c>
      <c r="E8" s="98" t="s">
        <v>463</v>
      </c>
      <c r="F8" s="98" t="s">
        <v>478</v>
      </c>
      <c r="G8" s="98" t="s">
        <v>479</v>
      </c>
      <c r="H8" s="99" t="s">
        <v>500</v>
      </c>
      <c r="I8" s="99" t="s">
        <v>462</v>
      </c>
      <c r="J8" s="110" t="s">
        <v>276</v>
      </c>
      <c r="K8" s="8"/>
      <c r="L8" s="8"/>
    </row>
    <row r="9" spans="1:12" s="6" customFormat="1" ht="204" x14ac:dyDescent="0.2">
      <c r="A9" s="144">
        <v>2.2000000000000002</v>
      </c>
      <c r="B9" s="93" t="s">
        <v>325</v>
      </c>
      <c r="C9" s="94" t="s">
        <v>275</v>
      </c>
      <c r="D9" s="100" t="s">
        <v>283</v>
      </c>
      <c r="E9" s="94" t="s">
        <v>453</v>
      </c>
      <c r="F9" s="94" t="s">
        <v>501</v>
      </c>
      <c r="G9" s="94" t="s">
        <v>502</v>
      </c>
      <c r="H9" s="94" t="s">
        <v>503</v>
      </c>
      <c r="I9" s="94" t="s">
        <v>492</v>
      </c>
      <c r="J9" s="110" t="s">
        <v>276</v>
      </c>
      <c r="K9" s="8"/>
    </row>
    <row r="10" spans="1:12" s="6" customFormat="1" ht="272" x14ac:dyDescent="0.2">
      <c r="A10" s="145">
        <v>2.2999999999999998</v>
      </c>
      <c r="B10" s="93" t="s">
        <v>291</v>
      </c>
      <c r="C10" s="98" t="s">
        <v>275</v>
      </c>
      <c r="D10" s="209" t="s">
        <v>283</v>
      </c>
      <c r="E10" s="98" t="s">
        <v>457</v>
      </c>
      <c r="F10" s="98" t="s">
        <v>482</v>
      </c>
      <c r="G10" s="98" t="s">
        <v>504</v>
      </c>
      <c r="H10" s="98" t="s">
        <v>505</v>
      </c>
      <c r="I10" s="99" t="s">
        <v>458</v>
      </c>
      <c r="J10" s="110" t="s">
        <v>276</v>
      </c>
      <c r="K10" s="8"/>
    </row>
    <row r="11" spans="1:12" s="6" customFormat="1" ht="153" x14ac:dyDescent="0.2">
      <c r="A11" s="144">
        <v>2.4</v>
      </c>
      <c r="B11" s="93" t="s">
        <v>31</v>
      </c>
      <c r="C11" s="94" t="s">
        <v>275</v>
      </c>
      <c r="D11" s="100" t="s">
        <v>283</v>
      </c>
      <c r="E11" s="94" t="s">
        <v>423</v>
      </c>
      <c r="F11" s="96" t="s">
        <v>506</v>
      </c>
      <c r="G11" s="96" t="s">
        <v>507</v>
      </c>
      <c r="H11" s="96" t="s">
        <v>508</v>
      </c>
      <c r="I11" s="96" t="s">
        <v>509</v>
      </c>
      <c r="J11" s="109" t="s">
        <v>276</v>
      </c>
      <c r="K11" s="8"/>
    </row>
    <row r="12" spans="1:12" s="6" customFormat="1" ht="100" customHeight="1" x14ac:dyDescent="0.2">
      <c r="A12" s="145">
        <v>2.5</v>
      </c>
      <c r="B12" s="97" t="s">
        <v>32</v>
      </c>
      <c r="C12" s="98" t="s">
        <v>275</v>
      </c>
      <c r="D12" s="101" t="s">
        <v>277</v>
      </c>
      <c r="E12" s="98" t="s">
        <v>429</v>
      </c>
      <c r="F12" s="98" t="s">
        <v>488</v>
      </c>
      <c r="G12" s="98" t="s">
        <v>487</v>
      </c>
      <c r="H12" s="98" t="s">
        <v>510</v>
      </c>
      <c r="I12" s="99" t="s">
        <v>430</v>
      </c>
      <c r="J12" s="110" t="s">
        <v>273</v>
      </c>
      <c r="K12" s="8"/>
    </row>
    <row r="13" spans="1:12" s="6" customFormat="1" ht="153" x14ac:dyDescent="0.2">
      <c r="A13" s="144">
        <v>2.6</v>
      </c>
      <c r="B13" s="93" t="s">
        <v>33</v>
      </c>
      <c r="C13" s="94" t="s">
        <v>275</v>
      </c>
      <c r="D13" s="100" t="s">
        <v>283</v>
      </c>
      <c r="E13" s="98" t="s">
        <v>426</v>
      </c>
      <c r="F13" s="96" t="s">
        <v>511</v>
      </c>
      <c r="G13" s="96" t="s">
        <v>490</v>
      </c>
      <c r="H13" s="94" t="s">
        <v>512</v>
      </c>
      <c r="I13" s="96" t="s">
        <v>427</v>
      </c>
      <c r="J13" s="109" t="s">
        <v>274</v>
      </c>
      <c r="K13" s="8"/>
    </row>
    <row r="14" spans="1:12" s="6" customFormat="1" ht="100" customHeight="1" x14ac:dyDescent="0.2">
      <c r="A14" s="145">
        <v>2.7</v>
      </c>
      <c r="B14" s="97" t="s">
        <v>34</v>
      </c>
      <c r="C14" s="98" t="s">
        <v>275</v>
      </c>
      <c r="D14" s="100" t="s">
        <v>283</v>
      </c>
      <c r="E14" s="98" t="s">
        <v>35</v>
      </c>
      <c r="F14" s="98" t="s">
        <v>36</v>
      </c>
      <c r="G14" s="98" t="s">
        <v>37</v>
      </c>
      <c r="H14" s="98" t="s">
        <v>513</v>
      </c>
      <c r="I14" s="99" t="s">
        <v>38</v>
      </c>
      <c r="J14" s="110" t="s">
        <v>274</v>
      </c>
      <c r="K14" s="8"/>
    </row>
    <row r="15" spans="1:12" s="6" customFormat="1" ht="170" x14ac:dyDescent="0.2">
      <c r="A15" s="144">
        <v>2.8</v>
      </c>
      <c r="B15" s="93" t="s">
        <v>39</v>
      </c>
      <c r="C15" s="94" t="s">
        <v>275</v>
      </c>
      <c r="D15" s="100" t="s">
        <v>283</v>
      </c>
      <c r="E15" s="94" t="s">
        <v>262</v>
      </c>
      <c r="F15" s="94" t="s">
        <v>264</v>
      </c>
      <c r="G15" s="94" t="s">
        <v>265</v>
      </c>
      <c r="H15" s="94" t="s">
        <v>514</v>
      </c>
      <c r="I15" s="96" t="s">
        <v>332</v>
      </c>
      <c r="J15" s="109" t="s">
        <v>274</v>
      </c>
      <c r="K15" s="8"/>
    </row>
    <row r="16" spans="1:12" s="6" customFormat="1" ht="153" x14ac:dyDescent="0.2">
      <c r="A16" s="145">
        <v>3.1</v>
      </c>
      <c r="B16" s="98" t="s">
        <v>292</v>
      </c>
      <c r="C16" s="98" t="s">
        <v>333</v>
      </c>
      <c r="D16" s="100" t="s">
        <v>283</v>
      </c>
      <c r="E16" s="98" t="s">
        <v>329</v>
      </c>
      <c r="F16" s="98" t="s">
        <v>328</v>
      </c>
      <c r="G16" s="98" t="s">
        <v>331</v>
      </c>
      <c r="H16" s="98" t="s">
        <v>516</v>
      </c>
      <c r="I16" s="99" t="s">
        <v>515</v>
      </c>
      <c r="J16" s="110" t="s">
        <v>276</v>
      </c>
      <c r="K16" s="8"/>
    </row>
    <row r="17" spans="1:11" s="6" customFormat="1" ht="100" customHeight="1" x14ac:dyDescent="0.2">
      <c r="A17" s="144">
        <v>4.0999999999999996</v>
      </c>
      <c r="B17" s="94" t="s">
        <v>326</v>
      </c>
      <c r="C17" s="94" t="s">
        <v>334</v>
      </c>
      <c r="D17" s="95" t="s">
        <v>272</v>
      </c>
      <c r="E17" s="94" t="s">
        <v>40</v>
      </c>
      <c r="F17" s="94" t="s">
        <v>517</v>
      </c>
      <c r="G17" s="94" t="s">
        <v>330</v>
      </c>
      <c r="H17" s="94" t="s">
        <v>518</v>
      </c>
      <c r="I17" s="96" t="s">
        <v>43</v>
      </c>
      <c r="J17" s="109" t="s">
        <v>339</v>
      </c>
      <c r="K17" s="8"/>
    </row>
    <row r="18" spans="1:11" s="6" customFormat="1" ht="100" customHeight="1" x14ac:dyDescent="0.2">
      <c r="A18" s="145">
        <v>5.0999999999999996</v>
      </c>
      <c r="B18" s="102" t="s">
        <v>45</v>
      </c>
      <c r="C18" s="103" t="s">
        <v>335</v>
      </c>
      <c r="D18" s="100" t="s">
        <v>283</v>
      </c>
      <c r="E18" s="103" t="s">
        <v>46</v>
      </c>
      <c r="F18" s="103" t="s">
        <v>47</v>
      </c>
      <c r="G18" s="103" t="s">
        <v>48</v>
      </c>
      <c r="H18" s="103" t="s">
        <v>519</v>
      </c>
      <c r="I18" s="104" t="s">
        <v>49</v>
      </c>
      <c r="J18" s="112" t="s">
        <v>274</v>
      </c>
      <c r="K18" s="8"/>
    </row>
    <row r="19" spans="1:11" s="6" customFormat="1" ht="100" customHeight="1" x14ac:dyDescent="0.2">
      <c r="A19" s="113" t="s">
        <v>327</v>
      </c>
      <c r="B19" s="94" t="s">
        <v>50</v>
      </c>
      <c r="C19" s="94" t="s">
        <v>385</v>
      </c>
      <c r="D19" s="100" t="s">
        <v>283</v>
      </c>
      <c r="E19" s="94" t="s">
        <v>51</v>
      </c>
      <c r="F19" s="94" t="s">
        <v>52</v>
      </c>
      <c r="G19" s="94" t="s">
        <v>53</v>
      </c>
      <c r="H19" s="94" t="s">
        <v>520</v>
      </c>
      <c r="I19" s="94" t="s">
        <v>54</v>
      </c>
      <c r="J19" s="109" t="s">
        <v>274</v>
      </c>
      <c r="K19" s="8"/>
    </row>
    <row r="20" spans="1:11" s="6" customFormat="1" ht="119" x14ac:dyDescent="0.2">
      <c r="A20" s="114" t="s">
        <v>55</v>
      </c>
      <c r="B20" s="105" t="s">
        <v>56</v>
      </c>
      <c r="C20" s="94" t="s">
        <v>384</v>
      </c>
      <c r="D20" s="106" t="s">
        <v>277</v>
      </c>
      <c r="E20" s="105" t="s">
        <v>493</v>
      </c>
      <c r="F20" s="105" t="s">
        <v>491</v>
      </c>
      <c r="G20" s="105" t="s">
        <v>521</v>
      </c>
      <c r="H20" s="105" t="s">
        <v>522</v>
      </c>
      <c r="I20" s="107" t="s">
        <v>449</v>
      </c>
      <c r="J20" s="112" t="s">
        <v>273</v>
      </c>
      <c r="K20" s="8"/>
    </row>
    <row r="21" spans="1:11" s="6" customFormat="1" ht="100" customHeight="1" x14ac:dyDescent="0.2">
      <c r="A21" s="113" t="s">
        <v>58</v>
      </c>
      <c r="B21" s="94" t="s">
        <v>59</v>
      </c>
      <c r="C21" s="94" t="s">
        <v>384</v>
      </c>
      <c r="D21" s="108" t="s">
        <v>277</v>
      </c>
      <c r="E21" s="94" t="s">
        <v>60</v>
      </c>
      <c r="F21" s="94" t="s">
        <v>61</v>
      </c>
      <c r="G21" s="94" t="s">
        <v>523</v>
      </c>
      <c r="H21" s="94" t="s">
        <v>524</v>
      </c>
      <c r="I21" s="94" t="s">
        <v>448</v>
      </c>
      <c r="J21" s="109" t="s">
        <v>273</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2026-10-13T11:21:54Z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