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filterPrivacy="1" defaultThemeVersion="166925"/>
  <xr:revisionPtr revIDLastSave="0" documentId="13_ncr:1_{1EA35760-3E49-C445-975D-665C548CA539}" xr6:coauthVersionLast="47" xr6:coauthVersionMax="47" xr10:uidLastSave="{00000000-0000-0000-0000-000000000000}"/>
  <bookViews>
    <workbookView xWindow="0" yWindow="0" windowWidth="38400" windowHeight="21600" xr2:uid="{51658058-8315-A640-B733-1DFC39D6EEC8}"/>
  </bookViews>
  <sheets>
    <sheet name="Evidence Matrix" sheetId="1" r:id="rId1"/>
    <sheet name="Summary" sheetId="2" r:id="rId2"/>
    <sheet name="Methodology" sheetId="3" r:id="rId3"/>
    <sheet name="Rating Criteria" sheetId="4" r:id="rId4"/>
    <sheet name="output-assessment" sheetId="5" r:id="rId5"/>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7" i="2" l="1"/>
  <c r="D17" i="2"/>
  <c r="C17" i="2"/>
  <c r="B17" i="2"/>
  <c r="E16" i="2"/>
  <c r="E15" i="2"/>
  <c r="E14" i="2"/>
  <c r="E13" i="2"/>
  <c r="E12" i="2"/>
  <c r="E11" i="2"/>
  <c r="E10" i="2"/>
  <c r="C7" i="2"/>
  <c r="B7" i="2"/>
  <c r="C6" i="2"/>
  <c r="C4" i="2"/>
  <c r="C5" i="2"/>
</calcChain>
</file>

<file path=xl/sharedStrings.xml><?xml version="1.0" encoding="utf-8"?>
<sst xmlns="http://schemas.openxmlformats.org/spreadsheetml/2006/main" count="637" uniqueCount="419">
  <si>
    <t>Output ID</t>
  </si>
  <si>
    <t>Plan Commitment</t>
  </si>
  <si>
    <t>Objective</t>
  </si>
  <si>
    <t>Status</t>
  </si>
  <si>
    <t>Rating (1-5)</t>
  </si>
  <si>
    <t>Evidence Sources</t>
  </si>
  <si>
    <t>Findings</t>
  </si>
  <si>
    <t>Documentation Gaps</t>
  </si>
  <si>
    <t>Key References</t>
  </si>
  <si>
    <t>Enhanced reporting of AEFI</t>
  </si>
  <si>
    <t>AEFI Management</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</si>
  <si>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</si>
  <si>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</si>
  <si>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</si>
  <si>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</si>
  <si>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</si>
  <si>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</si>
  <si>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</si>
  <si>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</si>
  <si>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</si>
  <si>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</si>
  <si>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</si>
  <si>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</si>
  <si>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</si>
  <si>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</si>
  <si>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</si>
  <si>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Enhanced AEFI data capabilities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</si>
  <si>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</si>
  <si>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</si>
  <si>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</si>
  <si>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</si>
  <si>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Enhanced AEFI report escalation</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</si>
  <si>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</si>
  <si>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</si>
  <si>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</si>
  <si>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Understanding safety profiles</t>
  </si>
  <si>
    <t>Signal ID &amp; Assessment</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</si>
  <si>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</si>
  <si>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</si>
  <si>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</si>
  <si>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</si>
  <si>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Protocols for investigating AEFI</t>
  </si>
  <si>
    <t>Not Documented</t>
  </si>
  <si>
    <t>FOI 3643, FOI 25-0166, OAIC MR22/00538 searches (531 containers), FOI 5275</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</si>
  <si>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</si>
  <si>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</si>
  <si>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</si>
  <si>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Enhanced cumulative data reviews</t>
  </si>
  <si>
    <t>FOI 3643, FOI 25-0166, FOI 4029-03, OAIC MR22/00538 searches, FOI 5275</t>
  </si>
  <si>
    <t>FOI 4029-03: TGA presented PRR/MaxSPRT/AIR-denominator methodology to Advisory Committee (Sep 2021); FOI 5275: TGA states does not hold incidence data for AusPAR monitoring conditions (Aug 2024)</t>
  </si>
  <si>
    <t>Zero documentation of refined cumulative review processes in public reports; no statistical methodologies published; no subpopulation analysis frameworks documented; no AIR-denominator outputs in public reports despite ACV presentation</t>
  </si>
  <si>
    <t>FOI 4029-03 pp.4-6 (PRR≥1/cases≥2, MaxSPRT, AIR-denominator); FOI 5275 (no incidence data held); Surveillance Analysis (expected rates without methodology); OAIC searches found no cumulative review documentation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</si>
  <si>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</si>
  <si>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</si>
  <si>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</si>
  <si>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</si>
  <si>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</si>
  <si>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</si>
  <si>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</si>
  <si>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</si>
  <si>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</si>
  <si>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</si>
  <si>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</si>
  <si>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</si>
  <si>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</si>
  <si>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</si>
  <si>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</si>
  <si>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</si>
  <si>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</si>
  <si>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</si>
  <si>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Communications and media</t>
  </si>
  <si>
    <t>Clear Communication</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</si>
  <si>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</si>
  <si>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</si>
  <si>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</si>
  <si>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</si>
  <si>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Data integration</t>
  </si>
  <si>
    <t>Data Integration</t>
  </si>
  <si>
    <t>Data from multiple sources accessed: DAEN (140K+ reports), AusVaxSafety (6.8M surveys), state/territory reporting, sponsor submissions; reports show data was compiled</t>
  </si>
  <si>
    <t>No documented framework or protocol for systematic integration of data sources; no documented methodology for reconciling DAEN vs AusVaxSafety; Phillips et al (2021) identified 'parallel systems' gap</t>
  </si>
  <si>
    <t>Surveillance Analysis (140K DAEN, 6.8M AusVaxSafety, both in reports but no integration methodology); Phillips et al 2021 Vaccine ('parallel systems'); OAIC searches found no integration protocols</t>
  </si>
  <si>
    <t>Contribution to research</t>
  </si>
  <si>
    <t>Research Contribution</t>
  </si>
  <si>
    <t>FOI 3643, FOI 25-0166, OAIC MR22/00538 searches, academic literature</t>
  </si>
  <si>
    <t>TGA officials may have engaged in research; some academic publications with TGA co-authors exist</t>
  </si>
  <si>
    <t>No documented research plan linked to the Safety Plan; no protocols or outputs explicitly tied to Plan Objective 5; OAIC noted difficulty interpreting Objective 5 for search purposes</t>
  </si>
  <si>
    <t>OAIC MR22/00538 ('unable to meaningfully interpret' Objective 5); OAIC searches found no Plan-linked research outputs; FOI 3643 no research documentation</t>
  </si>
  <si>
    <t>COLLAB.1</t>
  </si>
  <si>
    <t>National collaborations</t>
  </si>
  <si>
    <t>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</si>
  <si>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</si>
  <si>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</si>
  <si>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</si>
  <si>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</si>
  <si>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COLLAB.2</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</si>
  <si>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</si>
  <si>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</si>
  <si>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</si>
  <si>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</si>
  <si>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</si>
  <si>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</si>
  <si>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</si>
  <si>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</si>
  <si>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FOI 3643, FOI 25-0166, OAIC MR22/00538 searches (531 containers), Senate testimony Oct 2025</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</si>
  <si>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</si>
  <si>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</si>
  <si>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</si>
  <si>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</si>
  <si>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</si>
  <si>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</si>
  <si>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</si>
  <si>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Total absence of performance metrics; no tracking of 20 outputs; no KPIs documented; 150+ weekly reports contain zero Plan framework references; no assessment at programme cessation (Nov 2023)</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</si>
  <si>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</si>
  <si>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</si>
  <si>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</si>
  <si>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</si>
  <si>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</si>
  <si>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</si>
  <si>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</si>
  <si>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</si>
  <si>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</si>
  <si>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</si>
  <si>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</si>
  <si>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</si>
  <si>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</si>
  <si>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</si>
  <si>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</si>
  <si>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</si>
  <si>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</si>
  <si>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r>
      <t>Repository:</t>
    </r>
    <r>
      <rPr>
        <sz val="12"/>
        <color theme="1"/>
        <rFont val="Calibri"/>
        <family val="2"/>
        <scheme val="minor"/>
      </rPr>
      <t xml:space="preserve"> https://github.com/paulrekaris/TGA-COVID19-Vaccine-Safety-Monitoring-Audit</t>
    </r>
  </si>
  <si>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</si>
  <si>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</si>
  <si>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</si>
  <si>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</si>
  <si>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</si>
  <si>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</si>
  <si>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</si>
  <si>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</si>
  <si>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September 2024 searches of 531+ TRIM containers under OAIC statutory direction represent TGA's own assessment of what documentation exists</t>
  </si>
  <si>
    <t>Senate testimony under parliamentary privilege is reliable</t>
  </si>
  <si>
    <t>Official statements by TGA senior officials under oath to Senate committees constitute authoritative evidence of implementation status</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</si>
  <si>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</si>
  <si>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</si>
  <si>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</si>
  <si>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</si>
  <si>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</si>
  <si>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Per ISO 19011:2018 Section 6.4.10, audit conclusions are based on evidence made available to auditor within defined scope, not hypothetical evidence that might exist elsewhere</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</si>
  <si>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</si>
  <si>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</si>
  <si>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</si>
  <si>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</si>
  <si>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</si>
  <si>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</si>
  <si>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</si>
  <si>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</si>
  <si>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</si>
  <si>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</si>
  <si>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</si>
  <si>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</si>
  <si>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</si>
  <si>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</si>
  <si>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</si>
  <si>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</si>
  <si>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</si>
  <si>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</si>
  <si>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</si>
  <si>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</si>
  <si>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</si>
  <si>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</si>
  <si>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</si>
  <si>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</si>
  <si>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</si>
  <si>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</si>
  <si>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</si>
  <si>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</si>
  <si>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</si>
  <si>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</si>
  <si>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</si>
  <si>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</si>
  <si>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</si>
  <si>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</si>
  <si>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</si>
  <si>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</si>
  <si>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</si>
  <si>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</si>
  <si>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</si>
  <si>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</si>
  <si>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</si>
  <si>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</si>
  <si>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</si>
  <si>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</si>
  <si>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</si>
  <si>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</si>
  <si>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</si>
  <si>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</si>
  <si>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</si>
  <si>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ISO 19011:2018 Section 6.4.10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</si>
  <si>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</si>
  <si>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</si>
  <si>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</si>
  <si>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</si>
  <si>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</si>
  <si>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</si>
  <si>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</si>
  <si>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</si>
  <si>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</si>
  <si>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</si>
  <si>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</si>
  <si>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</si>
  <si>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</si>
  <si>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</si>
  <si>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</si>
  <si>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</si>
  <si>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</si>
  <si>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</si>
  <si>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</si>
  <si>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Highest - official testimony under oath in parliamentary proceedings</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</si>
  <si>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</si>
  <si>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</si>
  <si>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</si>
  <si>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</si>
  <si>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</si>
  <si>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</si>
  <si>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</si>
  <si>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</si>
  <si>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</si>
  <si>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</si>
  <si>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</si>
  <si>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</si>
  <si>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</si>
  <si>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Under Commonwealth accountability frameworks (PGPA Act 2013 s37, Archives Act 1983, FOI Act 1982), the burden rests with government entities to demonstrate performance through documentation, not with oversight bodies or citizens to prove documentation doesn't exist.</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</si>
  <si>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</si>
  <si>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</si>
  <si>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</si>
  <si>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</si>
  <si>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</si>
  <si>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r>
      <t>Last Updated:</t>
    </r>
    <r>
      <rPr>
        <sz val="12"/>
        <color theme="1"/>
        <rFont val="Calibri"/>
        <family val="2"/>
        <scheme val="minor"/>
      </rPr>
      <t xml:space="preserve"> 29 January 2026</t>
    </r>
  </si>
  <si>
    <r>
      <t>Audit Framework:</t>
    </r>
    <r>
      <rPr>
        <sz val="12"/>
        <color theme="1"/>
        <rFont val="Calibri"/>
        <family val="2"/>
        <scheme val="minor"/>
      </rPr>
      <t xml:space="preserve"> ISO 19011:2018, ANAO Performance Audit Methodology, OSINT Best Practice</t>
    </r>
  </si>
  <si>
    <r>
      <t>Complete Documentation:</t>
    </r>
    <r>
      <rPr>
        <sz val="12"/>
        <color theme="1"/>
        <rFont val="Calibri"/>
        <family val="2"/>
        <scheme val="minor"/>
      </rPr>
      <t xml:space="preserve"> https://github.com/paulrekaris/TGA-COVID19-Vaccine-Safety-Monitoring-Audit</t>
    </r>
  </si>
  <si>
    <t>METHODOLOGY</t>
  </si>
  <si>
    <t>Output Implementation Rating Criteria</t>
  </si>
  <si>
    <t>These definitions establish clear, consistent criteria for assessing each of the 20 Plan outputs across three rating categories.</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</si>
  <si>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</si>
  <si>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</si>
  <si>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</si>
  <si>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</si>
  <si>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</si>
  <si>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</si>
  <si>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</si>
  <si>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</si>
  <si>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</si>
  <si>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</si>
  <si>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</si>
  <si>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</si>
  <si>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</si>
  <si>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</si>
  <si>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</si>
  <si>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(1) TGA OAIC searches (531 containers) found no relevant documentation, AND (2) FOI processes produced no evidence, AND (3) No references in public reports/testimony</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</si>
  <si>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</si>
  <si>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</si>
  <si>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</si>
  <si>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</si>
  <si>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</si>
  <si>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</si>
  <si>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</si>
  <si>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</si>
  <si>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</si>
  <si>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</si>
  <si>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</si>
  <si>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r>
      <t>Output 1.4:</t>
    </r>
    <r>
      <rPr>
        <sz val="12"/>
        <color theme="1"/>
        <rFont val="Calibri"/>
        <family val="2"/>
        <scheme val="minor"/>
      </rPr>
      <t xml:space="preserve"> Data processing occurred (140K+ reports) but no evidence this was "enhanced" preparation vs routine DAEN capabilities. Activity documented but enhancement not evidenced.</t>
    </r>
  </si>
  <si>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</si>
  <si>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</si>
  <si>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</si>
  <si>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</si>
  <si>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</si>
  <si>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</si>
  <si>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</si>
  <si>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</si>
  <si>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</si>
  <si>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</si>
  <si>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</si>
  <si>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</si>
  <si>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</si>
  <si>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</si>
  <si>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</si>
  <si>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</si>
  <si>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</si>
  <si>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</si>
  <si>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</si>
  <si>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</si>
  <si>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</si>
  <si>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</si>
  <si>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</si>
  <si>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</si>
  <si>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</si>
  <si>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</si>
  <si>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r>
      <t>Communication Outputs</t>
    </r>
    <r>
      <rPr>
        <sz val="12"/>
        <color theme="1"/>
        <rFont val="Calibri"/>
        <family val="2"/>
        <scheme val="minor"/>
      </rPr>
      <t xml:space="preserve"> (1.1, 3.1)</t>
    </r>
  </si>
  <si>
    <t>Published materials exist and are accessible (website content, reports, media releases)</t>
  </si>
  <si>
    <t>Materials exist but some gaps in systematic delivery or framework</t>
  </si>
  <si>
    <t>No public communications or materials found</t>
  </si>
  <si>
    <r>
      <t>Deliverable Outputs</t>
    </r>
    <r>
      <rPr>
        <sz val="12"/>
        <color theme="1"/>
        <rFont val="Calibri"/>
        <family val="2"/>
        <scheme val="minor"/>
      </rPr>
      <t xml:space="preserve"> (1.2 Forms)</t>
    </r>
  </si>
  <si>
    <t>Deliverable exists, publicly available, fit for purpose</t>
  </si>
  <si>
    <t>Deliverable exists but limitations/gaps identified</t>
  </si>
  <si>
    <t>Deliverable does not exist or not accessible</t>
  </si>
  <si>
    <r>
      <t>Process/Protocol Outputs</t>
    </r>
    <r>
      <rPr>
        <sz val="12"/>
        <color theme="1"/>
        <rFont val="Calibri"/>
        <family val="2"/>
        <scheme val="minor"/>
      </rPr>
      <t xml:space="preserve"> (2.2, 2.3, 2.5, 2.6)</t>
    </r>
  </si>
  <si>
    <t>Documented protocols/SOPs/frameworks exist showing systematic approach distinct from routine</t>
  </si>
  <si>
    <t>Activity evidence exists but protocols/frameworks not documented</t>
  </si>
  <si>
    <t>Zero protocols/frameworks found; comprehensive searches negative</t>
  </si>
  <si>
    <r>
      <t>Integration/Coordination Outputs</t>
    </r>
    <r>
      <rPr>
        <sz val="12"/>
        <color theme="1"/>
        <rFont val="Calibri"/>
        <family val="2"/>
        <scheme val="minor"/>
      </rPr>
      <t xml:space="preserve"> (2.4, 4.1, COLLAB.1, COLLAB.2)</t>
    </r>
  </si>
  <si>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</si>
  <si>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</si>
  <si>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</si>
  <si>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r>
      <t>Governance Outputs</t>
    </r>
    <r>
      <rPr>
        <sz val="12"/>
        <color theme="1"/>
        <rFont val="Calibri"/>
        <family val="2"/>
        <scheme val="minor"/>
      </rPr>
      <t xml:space="preserve"> (GOV.1, GOV.2)</t>
    </r>
  </si>
  <si>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</si>
  <si>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</si>
  <si>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</si>
  <si>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</si>
  <si>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</si>
  <si>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</si>
  <si>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r>
      <t>Fully → Partially:</t>
    </r>
    <r>
      <rPr>
        <sz val="12"/>
        <color theme="1"/>
        <rFont val="Calibri"/>
        <family val="2"/>
        <scheme val="minor"/>
      </rPr>
      <t xml:space="preserve"> If significant documentation gaps subsequently identified</t>
    </r>
  </si>
  <si>
    <r>
      <t>Partially → Fully:</t>
    </r>
    <r>
      <rPr>
        <sz val="12"/>
        <color theme="1"/>
        <rFont val="Calibri"/>
        <family val="2"/>
        <scheme val="minor"/>
      </rPr>
      <t xml:space="preserve"> If TGA produces comprehensive framework documentation</t>
    </r>
  </si>
  <si>
    <r>
      <t>Not Documented → Partially/Fully:</t>
    </r>
    <r>
      <rPr>
        <sz val="12"/>
        <color theme="1"/>
        <rFont val="Calibri"/>
        <family val="2"/>
        <scheme val="minor"/>
      </rPr>
      <t xml:space="preserve"> If TGA produces previously undisclosed documentation through FOI, OAIC direction, or public release</t>
    </r>
  </si>
  <si>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</si>
  <si>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</si>
  <si>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</si>
  <si>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</si>
  <si>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</si>
  <si>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</si>
  <si>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</si>
  <si>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</si>
  <si>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</si>
  <si>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</si>
  <si>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</si>
  <si>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r>
      <t>Why Fully:</t>
    </r>
    <r>
      <rPr>
        <sz val="12"/>
        <color theme="1"/>
        <rFont val="Calibri"/>
        <family val="2"/>
        <scheme val="minor"/>
      </rPr>
      <t xml:space="preserve"> Output 1.1 is about public communication and reporting pathways (not internal processes). Website content exists, advertising documented, weekly reports published. This is COMMUNICATION OUTPUT fully delivered.</t>
    </r>
  </si>
  <si>
    <r>
      <t>Rating:</t>
    </r>
    <r>
      <rPr>
        <sz val="12"/>
        <color theme="1"/>
        <rFont val="Calibri"/>
        <family val="2"/>
        <scheme val="minor"/>
      </rPr>
      <t xml:space="preserve"> ✓ FULLY IMPLEMENTED</t>
    </r>
  </si>
  <si>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</si>
  <si>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</si>
  <si>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</si>
  <si>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</si>
  <si>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</si>
  <si>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</si>
  <si>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</si>
  <si>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</si>
  <si>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</si>
  <si>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</si>
  <si>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r>
      <t>Rating:</t>
    </r>
    <r>
      <rPr>
        <sz val="12"/>
        <color theme="1"/>
        <rFont val="Calibri"/>
        <family val="2"/>
        <scheme val="minor"/>
      </rPr>
      <t xml:space="preserve"> ◐ PARTIALLY IMPLEMENTED</t>
    </r>
  </si>
  <si>
    <t>Example 3: Not Documented (✗)</t>
  </si>
  <si>
    <t>Output GOV.1 - Implementation oversight</t>
  </si>
  <si>
    <t>Evidence Searched:</t>
  </si>
  <si>
    <t>FOI 3643, FOI 25-0166</t>
  </si>
  <si>
    <t>OAIC MR22/00538 searches (531 containers)</t>
  </si>
  <si>
    <t>Senate testimony Oct 2025</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</si>
  <si>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</si>
  <si>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</si>
  <si>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</si>
  <si>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</si>
  <si>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</si>
  <si>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</si>
  <si>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r>
      <t>Why Not Documented:</t>
    </r>
    <r>
      <rPr>
        <sz val="12"/>
        <color theme="1"/>
        <rFont val="Calibri"/>
        <family val="2"/>
        <scheme val="minor"/>
      </rPr>
      <t xml:space="preserve"> Plan required governance/oversight mechanisms for 20 outputs. After searching 531 containers: ZERO governance documentation. Senate testimony direct admission: 'never systematically tracked'. This is TOTAL ABSENCE of Plan governance.</t>
    </r>
  </si>
  <si>
    <r>
      <t>Rating:</t>
    </r>
    <r>
      <rPr>
        <sz val="12"/>
        <color theme="1"/>
        <rFont val="Calibri"/>
        <family val="2"/>
        <scheme val="minor"/>
      </rPr>
      <t xml:space="preserve"> ✗ NOT DOCUMENTED</t>
    </r>
  </si>
  <si>
    <r>
      <t>Methodology:</t>
    </r>
    <r>
      <rPr>
        <sz val="12"/>
        <color theme="1"/>
        <rFont val="Calibri"/>
        <family val="2"/>
        <scheme val="minor"/>
      </rPr>
      <t xml:space="preserve"> ISO 19011:2018 (evidence-based approach), ANAO Better Practice (performance assessment), Commonwealth accountability frameworks (PGPA Act s37, Archives Act 1983)</t>
    </r>
  </si>
  <si>
    <r>
      <t>Complete Audit Documentation:</t>
    </r>
    <r>
      <rPr>
        <sz val="12"/>
        <color theme="1"/>
        <rFont val="Calibri"/>
        <family val="2"/>
        <scheme val="minor"/>
      </rPr>
      <t xml:space="preserve"> https://github.com/paulrekaris/TGA-COVID19-Vaccine-Safety-Monitoring-Audit</t>
    </r>
  </si>
  <si>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</si>
  <si>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</si>
  <si>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</si>
  <si>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</si>
  <si>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Output Number</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</si>
  <si>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</si>
  <si>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</si>
  <si>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</si>
  <si>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</si>
  <si>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</si>
  <si>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</si>
  <si>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</si>
  <si>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</si>
  <si>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</si>
  <si>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</si>
  <si>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</si>
  <si>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</si>
  <si>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</si>
  <si>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</si>
  <si>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</si>
  <si>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</si>
  <si>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</si>
  <si>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</si>
  <si>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Plan explicitly committed to 'specific protocols for investigating AEFI reports'. After searching 531 TRIM containers, zero COVID-specific protocols found. Senate testimony confirms routine processes used. Activity happened (148 investigations) but SPECIFIC PROTOCOLS not documented.</t>
  </si>
  <si>
    <t>FOI 4029-03 proves TGA HAD Strategy 2.3 capability (presented to ACV Sep 2021) but zero outputs in concurrent public reports. FOI 5275 (Aug 2024) confirms TGA 'does not hold incidence data' 3.5 years post-approval. Contradiction: capacity shown to ACV but not documented publicly.</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</si>
  <si>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</si>
  <si>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</si>
  <si>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</si>
  <si>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Plan committed to enhanced processes for analysing sponsor clinical studies/reports. Zero evidence of these processes after comprehensive OAIC searches (531 containers). FOI 5275 independent corroboration of documentation gaps.</t>
  </si>
  <si>
    <t>Plan committed to 'environmental scanning' of scientific literature and regulatory decisions. After searching 531 containers, zero systematic processes documented. Ad hoc scanning may have occurred but SYSTEMATIC PROCESSES not evidenced.</t>
  </si>
  <si>
    <t>International engagement occurred (ICMRA co-chair documented) but SYSTEMATIC PROCESSES for information sharing not documented. Plan committed to processes - these not evidenced. Activity happened but framework not documented.</t>
  </si>
  <si>
    <t>FOI 4029-03 (ACV received Strategy 2.3 Sep 2021); ACV Meeting Statements (published); OAIC MR22/00538 ('unable to meaningfully interpret' Objective 5 for advisory searches)FOI 4029-03 (ACV received Strategy 2.3 Sep 2021); FOI 4029-05 (VSIG operational, child deaths not referred); ACV Meeting Statements (published); Senate testimony (TGA "burn out" claim); OAIC MR22/00538 ('unable to meaningfully interpret' Objective 5 for advisory searches)</t>
  </si>
  <si>
    <t>Clear communication (Objective 3)</t>
  </si>
  <si>
    <t>Output 3.1 is about COMMUNICATION to public. 150+ reports published, media engagement documented, website content exists. This is COMMUNICATION OUTPUT fully delivered (distinct from whether communications referenced Plan framework - that's separate transparency question).</t>
  </si>
  <si>
    <t>Integration of data from multiple sources (Objective 4)</t>
  </si>
  <si>
    <t>Data was clearly ACCESSED from multiple sources (appears in reports) but SYSTEMATIC INTEGRATION FRAMEWORK not documented. Plan committed to integration of data sources - integration METHODOLOGY not evidenced. Parallel systems not unified (documented gap).</t>
  </si>
  <si>
    <t>Contribution to evidence base through research (Objective 5)</t>
  </si>
  <si>
    <t>Some research activity may have occurred but no PLAN-LINKED research programme documented. OAIC specifically noted Objective 5 'unable to meaningfully interpret into searchable item' - suggests lack of systematic research framework tied to Plan.</t>
  </si>
  <si>
    <t>⭐⭐</t>
  </si>
  <si>
    <t>Cross-cutting: Collaborations</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</si>
  <si>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</si>
  <si>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</si>
  <si>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Cross-cutting: Governance and performance measurement</t>
  </si>
  <si>
    <t>Plan required governance/oversight mechanisms for 20 outputs. After searching 531 containers: ZERO governance documentation. Senate testimony direct admission: 'never systematically tracked'. This is TOTAL ABSENCE of Plan governance.</t>
  </si>
  <si>
    <t>Commonwealth PGPA Act s37 requires agencies explain performance. Plan specified 20 outputs requiring tracking. TOTAL ABSENCE of performance measurement: zero tracking, zero metrics, zero assessment across 33 months. Programme ceased (Nov 2023) without evaluation.</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</si>
  <si>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</si>
  <si>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</si>
  <si>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</si>
  <si>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</si>
  <si>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</si>
  <si>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Output 2.2: Zero COVID-specific investigation protocols found in 531-container search. Output GOV.1: Zero oversight committee documentation; Senate testimony confirms "never systematically tracked". Output 2.3: Zero enhanced cumulative review processes despite Strategy 2.3 presentation to ACV.</t>
  </si>
  <si>
    <r>
      <t>Output 1.1 (communication)</t>
    </r>
    <r>
      <rPr>
        <sz val="12"/>
        <color theme="1"/>
        <rFont val="Calibri"/>
        <family val="2"/>
        <scheme val="minor"/>
      </rPr>
      <t xml:space="preserve"> = deliverable (reports exist) = Fully. </t>
    </r>
    <r>
      <rPr>
        <sz val="12"/>
        <color theme="1"/>
        <rFont val="Calibri"/>
        <family val="2"/>
        <scheme val="minor"/>
      </rPr>
      <t>Output 2.2 (investigation protocols)</t>
    </r>
    <r>
      <rPr>
        <sz val="12"/>
        <color theme="1"/>
        <rFont val="Calibri"/>
        <family val="2"/>
        <scheme val="minor"/>
      </rPr>
      <t xml:space="preserve"> = process (protocols not documented) = Not Documented. Different output types require different evidence.</t>
    </r>
  </si>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</sst>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6"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4"/>
      <color indexed="8"/>
      <name val="Helvetica Neue"/>
      <family val="2"/>
    </font>
    <font>
      <sz val="12"/>
      <color indexed="8"/>
      <name val="Helvetica Neue"/>
      <family val="2"/>
    </font>
    <font>
      <b/>
      <sz val="20"/>
      <color rgb="FFFFFFFF"/>
      <name val="Calibri"/>
      <family val="2"/>
      <scheme val="minor"/>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0"/>
      <color rgb="FF595959"/>
      <name val="Calibri"/>
      <family val="2"/>
      <scheme val="minor"/>
    </font>
    <font>
      <b/>
      <sz val="11"/>
      <color rgb="FF006100"/>
      <name val="Calibri"/>
      <family val="2"/>
      <scheme val="minor"/>
    </font>
    <font>
      <sz val="14"/>
      <color rgb="FF006100"/>
      <name val="Calibri"/>
      <family val="2"/>
      <scheme val="minor"/>
    </font>
    <font>
      <b/>
      <sz val="11"/>
      <color rgb="FF9C5700"/>
      <name val="Calibri"/>
      <family val="2"/>
      <scheme val="minor"/>
    </font>
    <font>
      <sz val="14"/>
      <color rgb="FF9C5700"/>
      <name val="Calibri"/>
      <family val="2"/>
      <scheme val="minor"/>
    </font>
    <font>
      <sz val="14"/>
      <color rgb="FF9C0006"/>
      <name val="Calibri"/>
      <family val="2"/>
      <scheme val="minor"/>
    </font>
    <font>
      <sz val="11"/>
      <color theme="1"/>
      <name val="Consolas"/>
      <family val="2"/>
    </font>
    <font>
      <sz val="11"/>
      <color rgb="FF006100"/>
      <name val="Consolas"/>
      <family val="2"/>
    </font>
    <font>
      <sz val="11"/>
      <color rgb="FF9C5700"/>
      <name val="Consolas"/>
      <family val="2"/>
    </font>
    <font>
      <sz val="11"/>
      <color rgb="FF9C0006"/>
      <name val="Consolas"/>
      <family val="2"/>
    </font>
    <font>
      <b/>
      <i/>
      <sz val="11"/>
      <color theme="1"/>
      <name val="Calibri"/>
      <family val="2"/>
      <scheme val="minor"/>
    </font>
    <font>
      <b/>
      <sz val="24"/>
      <color theme="3"/>
      <name val="Calibri"/>
      <family val="2"/>
      <scheme val="minor"/>
    </font>
    <font>
      <b/>
      <sz val="14"/>
      <color rgb="FF1F4E79"/>
      <name val="Calibri"/>
      <family val="2"/>
    </font>
    <font>
      <b/>
      <sz val="18"/>
      <color theme="1"/>
      <name val="Calibri"/>
      <family val="2"/>
    </font>
    <font>
      <b/>
      <sz val="11"/>
      <color rgb="FFFFFFFF"/>
      <name val="Calibri"/>
      <family val="2"/>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20"/>
      <color rgb="FF1F4E79"/>
      <name val="Calibri"/>
      <family val="2"/>
      <scheme val="minor"/>
    </font>
    <font>
      <b/>
      <sz val="16"/>
      <color rgb="FFFFFFFF"/>
      <name val="Calibri"/>
      <family val="2"/>
      <scheme val="minor"/>
    </font>
  </fonts>
  <fills count="13">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rgb="FFF8F8F8"/>
        <bgColor indexed="64"/>
      </patternFill>
    </fill>
  </fills>
  <borders count="45">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thin">
        <color rgb="FF1F4E79"/>
      </top>
      <bottom style="thin">
        <color rgb="FF1F4E79"/>
      </bottom>
      <diagonal/>
    </border>
    <border>
      <left style="thin">
        <color rgb="FF1F4E79"/>
      </left>
      <right/>
      <top style="thin">
        <color rgb="FF1F4E79"/>
      </top>
      <bottom style="thin">
        <color rgb="FF1F4E79"/>
      </bottom>
      <diagonal/>
    </border>
    <border>
      <left/>
      <right style="thin">
        <color rgb="FF1F4E79"/>
      </right>
      <top style="thin">
        <color rgb="FF1F4E79"/>
      </top>
      <bottom style="thin">
        <color rgb="FF1F4E79"/>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top style="thin">
        <color rgb="FF1F4E79"/>
      </top>
      <bottom style="medium">
        <color rgb="FF1F4E79"/>
      </bottom>
      <diagonal/>
    </border>
    <border>
      <left style="medium">
        <color rgb="FF1F4E79"/>
      </left>
      <right/>
      <top style="thin">
        <color rgb="FF1F4E79"/>
      </top>
      <bottom style="medium">
        <color rgb="FF1F4E79"/>
      </bottom>
      <diagonal/>
    </border>
    <border>
      <left/>
      <right style="medium">
        <color rgb="FF1F4E79"/>
      </right>
      <top style="thin">
        <color rgb="FF1F4E79"/>
      </top>
      <bottom/>
      <diagonal/>
    </border>
    <border>
      <left/>
      <right style="medium">
        <color rgb="FF1F4E79"/>
      </right>
      <top style="thin">
        <color rgb="FF1F4E79"/>
      </top>
      <bottom style="medium">
        <color rgb="FF1F4E79"/>
      </bottom>
      <diagonal/>
    </border>
    <border>
      <left/>
      <right/>
      <top/>
      <bottom style="medium">
        <color rgb="FF1F4E79"/>
      </bottom>
      <diagonal/>
    </border>
    <border>
      <left style="medium">
        <color rgb="FF1F4E79"/>
      </left>
      <right/>
      <top/>
      <bottom style="medium">
        <color rgb="FF1F4E79"/>
      </bottom>
      <diagonal/>
    </border>
    <border>
      <left/>
      <right style="medium">
        <color rgb="FF1F4E79"/>
      </right>
      <top/>
      <bottom style="medium">
        <color rgb="FF1F4E79"/>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right style="thin">
        <color theme="2" tint="-0.499984740745262"/>
      </right>
      <top style="thin">
        <color theme="2" tint="-0.499984740745262"/>
      </top>
      <bottom/>
      <diagonal/>
    </border>
    <border>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style="thin">
        <color rgb="FF757171"/>
      </bottom>
      <diagonal/>
    </border>
    <border>
      <left style="thin">
        <color rgb="FF757171"/>
      </left>
      <right style="thin">
        <color theme="2" tint="-0.499984740745262"/>
      </right>
      <top/>
      <bottom/>
      <diagonal/>
    </border>
    <border>
      <left style="thin">
        <color rgb="FF757171"/>
      </left>
      <right/>
      <top style="thin">
        <color rgb="FF757171"/>
      </top>
      <bottom style="thin">
        <color theme="2" tint="-0.499984740745262"/>
      </bottom>
      <diagonal/>
    </border>
    <border>
      <left/>
      <right style="thin">
        <color theme="2" tint="-0.499984740745262"/>
      </right>
      <top/>
      <bottom style="thin">
        <color theme="2" tint="-0.499984740745262"/>
      </bottom>
      <diagonal/>
    </border>
    <border>
      <left/>
      <right/>
      <top style="thin">
        <color rgb="FF757171"/>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style="thick">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right style="thin">
        <color rgb="FF757171"/>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style="thin">
        <color rgb="FF1F4E79"/>
      </left>
      <right/>
      <top/>
      <bottom/>
      <diagonal/>
    </border>
  </borders>
  <cellStyleXfs count="3">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cellStyleXfs>
  <cellXfs count="194">
    <xf numFmtId="0" fontId="0" fillId="0" borderId="0" xfId="0"/>
    <xf numFmtId="0" fontId="5" fillId="2" borderId="0" xfId="0" applyFont="1" applyFill="1"/>
    <xf numFmtId="0" fontId="5" fillId="2" borderId="0" xfId="0" applyFont="1" applyFill="1" applyAlignment="1">
      <alignment horizontal="center"/>
    </xf>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horizontal="center" vertical="top" wrapText="1"/>
    </xf>
    <xf numFmtId="0" fontId="0" fillId="0" borderId="0" xfId="0" applyAlignment="1">
      <alignment vertical="top"/>
    </xf>
    <xf numFmtId="0" fontId="11" fillId="0" borderId="0" xfId="1" applyAlignment="1">
      <alignment vertical="top" wrapText="1"/>
    </xf>
    <xf numFmtId="0" fontId="4" fillId="0" borderId="0" xfId="0" applyFont="1" applyAlignment="1">
      <alignment vertical="top" wrapText="1"/>
    </xf>
    <xf numFmtId="0" fontId="0" fillId="0" borderId="0" xfId="0" applyAlignment="1">
      <alignment horizontal="center" vertical="top"/>
    </xf>
    <xf numFmtId="0" fontId="10" fillId="0" borderId="0" xfId="0" applyFont="1"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4" fillId="0" borderId="0" xfId="2" applyNumberFormat="1" applyFont="1" applyAlignment="1">
      <alignment vertical="top"/>
    </xf>
    <xf numFmtId="0" fontId="12" fillId="0" borderId="0" xfId="2" applyNumberFormat="1">
      <alignment vertical="top" wrapText="1"/>
    </xf>
    <xf numFmtId="0" fontId="15" fillId="2" borderId="0" xfId="0" applyFont="1" applyFill="1" applyAlignment="1">
      <alignment horizontal="left" vertical="top" wrapText="1"/>
    </xf>
    <xf numFmtId="0" fontId="0" fillId="2" borderId="0" xfId="0" applyFill="1" applyAlignment="1">
      <alignment vertical="top" wrapText="1"/>
    </xf>
    <xf numFmtId="0" fontId="16" fillId="8" borderId="0" xfId="0" applyFont="1" applyFill="1" applyAlignment="1">
      <alignment vertical="top" wrapText="1"/>
    </xf>
    <xf numFmtId="0" fontId="0" fillId="8" borderId="0" xfId="0" applyFill="1" applyAlignment="1">
      <alignment vertical="top" wrapText="1"/>
    </xf>
    <xf numFmtId="0" fontId="17" fillId="2" borderId="0" xfId="0" applyFont="1" applyFill="1" applyAlignment="1">
      <alignment vertical="top" wrapText="1"/>
    </xf>
    <xf numFmtId="0" fontId="18" fillId="0" borderId="0" xfId="0" applyFont="1" applyAlignment="1">
      <alignment horizontal="left" vertical="top" wrapText="1"/>
    </xf>
    <xf numFmtId="0" fontId="18" fillId="9" borderId="0" xfId="0" applyFont="1" applyFill="1" applyAlignment="1">
      <alignment horizontal="left" vertical="top" wrapText="1"/>
    </xf>
    <xf numFmtId="0" fontId="18" fillId="9" borderId="0" xfId="0" applyFont="1" applyFill="1" applyAlignment="1">
      <alignment horizontal="center" vertical="top" wrapText="1"/>
    </xf>
    <xf numFmtId="0" fontId="18" fillId="0" borderId="0" xfId="0" applyFont="1" applyAlignment="1">
      <alignment horizontal="center" vertical="top" wrapText="1"/>
    </xf>
    <xf numFmtId="0" fontId="18" fillId="0" borderId="0" xfId="0" applyFont="1" applyAlignment="1">
      <alignment vertical="top" wrapText="1"/>
    </xf>
    <xf numFmtId="0" fontId="18" fillId="9" borderId="0" xfId="0" applyFont="1" applyFill="1" applyAlignment="1">
      <alignment vertical="top" wrapText="1"/>
    </xf>
    <xf numFmtId="0" fontId="19" fillId="0" borderId="0" xfId="0" applyFont="1" applyAlignment="1">
      <alignment vertical="top" wrapText="1"/>
    </xf>
    <xf numFmtId="0" fontId="20" fillId="0" borderId="0" xfId="0" applyFont="1" applyAlignment="1">
      <alignment vertical="top" wrapText="1"/>
    </xf>
    <xf numFmtId="0" fontId="20" fillId="9" borderId="0" xfId="0" applyFont="1" applyFill="1" applyAlignment="1">
      <alignment vertical="top" wrapText="1"/>
    </xf>
    <xf numFmtId="0" fontId="21" fillId="0" borderId="0" xfId="0" applyFont="1" applyAlignment="1">
      <alignment vertical="top" wrapText="1"/>
    </xf>
    <xf numFmtId="0" fontId="21" fillId="10" borderId="0" xfId="0" applyFont="1" applyFill="1" applyAlignment="1">
      <alignment vertical="top" wrapText="1"/>
    </xf>
    <xf numFmtId="0" fontId="0" fillId="10" borderId="0" xfId="0" applyFill="1" applyAlignment="1">
      <alignment vertical="top" wrapText="1"/>
    </xf>
    <xf numFmtId="0" fontId="22" fillId="10" borderId="0" xfId="0" applyFont="1" applyFill="1" applyAlignment="1">
      <alignment vertical="top" wrapText="1"/>
    </xf>
    <xf numFmtId="0" fontId="20" fillId="11" borderId="0" xfId="0" applyFont="1" applyFill="1" applyAlignment="1">
      <alignment vertical="top" wrapText="1"/>
    </xf>
    <xf numFmtId="0" fontId="0" fillId="11" borderId="0" xfId="0" applyFill="1" applyAlignment="1">
      <alignment vertical="top" wrapText="1"/>
    </xf>
    <xf numFmtId="0" fontId="23" fillId="5" borderId="0" xfId="0" applyFont="1" applyFill="1" applyAlignment="1">
      <alignment vertical="top" wrapText="1"/>
    </xf>
    <xf numFmtId="0" fontId="0" fillId="5" borderId="0" xfId="0" applyFill="1" applyAlignment="1">
      <alignment vertical="top" wrapText="1"/>
    </xf>
    <xf numFmtId="0" fontId="18" fillId="5" borderId="0" xfId="0" applyFont="1" applyFill="1" applyAlignment="1">
      <alignment vertical="top" wrapText="1"/>
    </xf>
    <xf numFmtId="0" fontId="20" fillId="10" borderId="0" xfId="0" applyFont="1" applyFill="1" applyAlignment="1">
      <alignment vertical="top" wrapText="1"/>
    </xf>
    <xf numFmtId="0" fontId="24" fillId="8" borderId="0" xfId="0" applyFont="1" applyFill="1" applyAlignment="1">
      <alignment vertical="top" wrapText="1"/>
    </xf>
    <xf numFmtId="0" fontId="0" fillId="2" borderId="0" xfId="0" applyFill="1" applyAlignment="1">
      <alignment horizontal="center" vertical="top" wrapText="1"/>
    </xf>
    <xf numFmtId="0" fontId="0" fillId="8" borderId="0" xfId="0" applyFill="1" applyAlignment="1">
      <alignment horizontal="center" vertical="top" wrapText="1"/>
    </xf>
    <xf numFmtId="0" fontId="17" fillId="2" borderId="0" xfId="0" applyFont="1" applyFill="1" applyAlignment="1">
      <alignment horizontal="left" vertical="top" wrapText="1"/>
    </xf>
    <xf numFmtId="0" fontId="30" fillId="12" borderId="0" xfId="0" applyFont="1" applyFill="1" applyAlignment="1">
      <alignment vertical="top"/>
    </xf>
    <xf numFmtId="0" fontId="31" fillId="12" borderId="0" xfId="0" applyFont="1" applyFill="1" applyAlignment="1">
      <alignment vertical="top"/>
    </xf>
    <xf numFmtId="0" fontId="32" fillId="12" borderId="0" xfId="0" applyFont="1" applyFill="1" applyAlignment="1">
      <alignment vertical="top"/>
    </xf>
    <xf numFmtId="0" fontId="33" fillId="12" borderId="0" xfId="0" applyFont="1" applyFill="1" applyAlignment="1">
      <alignment vertical="top"/>
    </xf>
    <xf numFmtId="0" fontId="34" fillId="0" borderId="0" xfId="0" applyFont="1" applyAlignment="1">
      <alignment vertical="top" wrapText="1"/>
    </xf>
    <xf numFmtId="0" fontId="0" fillId="10" borderId="0" xfId="0" applyFill="1" applyAlignment="1">
      <alignment horizontal="center" vertical="top" wrapText="1"/>
    </xf>
    <xf numFmtId="0" fontId="20" fillId="0" borderId="0" xfId="0" applyFont="1" applyAlignment="1">
      <alignment vertical="top"/>
    </xf>
    <xf numFmtId="0" fontId="20" fillId="9" borderId="0" xfId="0" applyFont="1" applyFill="1" applyAlignment="1">
      <alignment vertical="top"/>
    </xf>
    <xf numFmtId="0" fontId="18" fillId="0" borderId="0" xfId="0" applyFont="1" applyAlignment="1">
      <alignment vertical="top"/>
    </xf>
    <xf numFmtId="0" fontId="18" fillId="9" borderId="0" xfId="0" applyFont="1" applyFill="1" applyAlignment="1">
      <alignment vertical="top"/>
    </xf>
    <xf numFmtId="0" fontId="16" fillId="8" borderId="0" xfId="0" applyFont="1" applyFill="1" applyAlignment="1">
      <alignment vertical="top"/>
    </xf>
    <xf numFmtId="0" fontId="0" fillId="8" borderId="0" xfId="0" applyFill="1" applyAlignment="1">
      <alignment horizontal="center" vertical="top"/>
    </xf>
    <xf numFmtId="0" fontId="6" fillId="3" borderId="0" xfId="0" applyFont="1" applyFill="1" applyAlignment="1">
      <alignment vertical="top"/>
    </xf>
    <xf numFmtId="0" fontId="0" fillId="3" borderId="0" xfId="0" applyFill="1" applyAlignment="1">
      <alignment horizontal="center" vertical="top"/>
    </xf>
    <xf numFmtId="0" fontId="0" fillId="3" borderId="0" xfId="0" applyFill="1" applyAlignment="1">
      <alignment vertical="top" wrapText="1"/>
    </xf>
    <xf numFmtId="0" fontId="21" fillId="0" borderId="0" xfId="0" applyFont="1" applyAlignment="1">
      <alignment vertical="top"/>
    </xf>
    <xf numFmtId="0" fontId="34" fillId="10" borderId="0" xfId="0" applyFont="1" applyFill="1" applyAlignment="1">
      <alignment vertical="top"/>
    </xf>
    <xf numFmtId="0" fontId="0" fillId="10" borderId="0" xfId="0" applyFill="1" applyAlignment="1">
      <alignment horizontal="center" vertical="top"/>
    </xf>
    <xf numFmtId="0" fontId="25" fillId="3" borderId="0" xfId="0" applyFont="1" applyFill="1" applyAlignment="1">
      <alignment vertical="top"/>
    </xf>
    <xf numFmtId="0" fontId="7" fillId="4" borderId="0" xfId="0" applyFont="1" applyFill="1" applyAlignment="1">
      <alignment vertical="top"/>
    </xf>
    <xf numFmtId="0" fontId="0" fillId="4" borderId="0" xfId="0" applyFill="1" applyAlignment="1">
      <alignment horizontal="center" vertical="top"/>
    </xf>
    <xf numFmtId="0" fontId="0" fillId="4" borderId="0" xfId="0" applyFill="1" applyAlignment="1">
      <alignment vertical="top" wrapText="1"/>
    </xf>
    <xf numFmtId="0" fontId="18" fillId="11" borderId="0" xfId="0" applyFont="1" applyFill="1" applyAlignment="1">
      <alignment vertical="top"/>
    </xf>
    <xf numFmtId="0" fontId="27" fillId="4" borderId="0" xfId="0" applyFont="1" applyFill="1" applyAlignment="1">
      <alignment vertical="top"/>
    </xf>
    <xf numFmtId="0" fontId="0" fillId="4" borderId="0" xfId="0" applyFill="1" applyAlignment="1">
      <alignment horizontal="center" vertical="top" wrapText="1"/>
    </xf>
    <xf numFmtId="0" fontId="8" fillId="5" borderId="0" xfId="0" applyFont="1" applyFill="1" applyAlignment="1">
      <alignment vertical="top"/>
    </xf>
    <xf numFmtId="0" fontId="0" fillId="5" borderId="0" xfId="0" applyFill="1" applyAlignment="1">
      <alignment horizontal="center" vertical="top" wrapText="1"/>
    </xf>
    <xf numFmtId="0" fontId="18" fillId="5" borderId="0" xfId="0" applyFont="1" applyFill="1" applyAlignment="1">
      <alignment vertical="top"/>
    </xf>
    <xf numFmtId="0" fontId="23" fillId="5" borderId="0" xfId="0" applyFont="1" applyFill="1" applyAlignment="1">
      <alignment vertical="top"/>
    </xf>
    <xf numFmtId="0" fontId="24" fillId="8" borderId="0" xfId="0" applyFont="1" applyFill="1" applyAlignment="1">
      <alignment vertical="top"/>
    </xf>
    <xf numFmtId="0" fontId="0" fillId="8" borderId="0" xfId="0" applyFill="1" applyAlignment="1">
      <alignment vertical="top"/>
    </xf>
    <xf numFmtId="0" fontId="17" fillId="2" borderId="4" xfId="0" applyFont="1" applyFill="1" applyBorder="1" applyAlignment="1">
      <alignment horizontal="center" vertical="top" wrapText="1"/>
    </xf>
    <xf numFmtId="0" fontId="17" fillId="2" borderId="3" xfId="0" applyFont="1" applyFill="1" applyBorder="1" applyAlignment="1">
      <alignment vertical="top" wrapText="1"/>
    </xf>
    <xf numFmtId="0" fontId="17" fillId="2" borderId="5" xfId="0" applyFont="1" applyFill="1" applyBorder="1" applyAlignment="1">
      <alignment vertical="top" wrapText="1"/>
    </xf>
    <xf numFmtId="0" fontId="17" fillId="2" borderId="4" xfId="0" applyFont="1" applyFill="1" applyBorder="1" applyAlignment="1">
      <alignment vertical="top" wrapText="1"/>
    </xf>
    <xf numFmtId="0" fontId="17" fillId="2" borderId="6" xfId="0" applyFont="1" applyFill="1" applyBorder="1" applyAlignment="1">
      <alignment vertical="top" wrapText="1"/>
    </xf>
    <xf numFmtId="0" fontId="17" fillId="2" borderId="7" xfId="0" applyFont="1" applyFill="1" applyBorder="1" applyAlignment="1">
      <alignment vertical="top" wrapText="1"/>
    </xf>
    <xf numFmtId="0" fontId="17" fillId="2" borderId="8" xfId="0" applyFont="1" applyFill="1" applyBorder="1" applyAlignment="1">
      <alignment vertical="top" wrapText="1"/>
    </xf>
    <xf numFmtId="0" fontId="17" fillId="2" borderId="6" xfId="0" applyFont="1" applyFill="1" applyBorder="1" applyAlignment="1">
      <alignment horizontal="center" vertical="top" wrapText="1"/>
    </xf>
    <xf numFmtId="0" fontId="17" fillId="2" borderId="9" xfId="0" applyFont="1" applyFill="1" applyBorder="1" applyAlignment="1">
      <alignment vertical="top" wrapText="1"/>
    </xf>
    <xf numFmtId="0" fontId="17" fillId="2" borderId="10" xfId="0" applyFont="1" applyFill="1" applyBorder="1" applyAlignment="1">
      <alignment vertical="top" wrapText="1"/>
    </xf>
    <xf numFmtId="0" fontId="17" fillId="2" borderId="11" xfId="0" applyFont="1" applyFill="1" applyBorder="1" applyAlignment="1">
      <alignment vertical="top" wrapText="1"/>
    </xf>
    <xf numFmtId="0" fontId="25" fillId="3" borderId="10" xfId="0" applyFont="1" applyFill="1" applyBorder="1" applyAlignment="1">
      <alignment vertical="top" wrapText="1"/>
    </xf>
    <xf numFmtId="0" fontId="26" fillId="3" borderId="6" xfId="0" applyFont="1" applyFill="1" applyBorder="1" applyAlignment="1">
      <alignment horizontal="center" vertical="top" wrapText="1"/>
    </xf>
    <xf numFmtId="0" fontId="18" fillId="3" borderId="6" xfId="0" applyFont="1" applyFill="1" applyBorder="1" applyAlignment="1">
      <alignment vertical="top" wrapText="1"/>
    </xf>
    <xf numFmtId="0" fontId="20" fillId="3" borderId="11" xfId="0" applyFont="1" applyFill="1" applyBorder="1" applyAlignment="1">
      <alignment vertical="top" wrapText="1"/>
    </xf>
    <xf numFmtId="0" fontId="27" fillId="4" borderId="12" xfId="0" applyFont="1" applyFill="1" applyBorder="1" applyAlignment="1">
      <alignment vertical="top" wrapText="1"/>
    </xf>
    <xf numFmtId="0" fontId="23" fillId="5" borderId="14" xfId="0" applyFont="1" applyFill="1" applyBorder="1" applyAlignment="1">
      <alignment vertical="top" wrapText="1"/>
    </xf>
    <xf numFmtId="0" fontId="28" fillId="4" borderId="2" xfId="0" applyFont="1" applyFill="1" applyBorder="1" applyAlignment="1">
      <alignment horizontal="center" vertical="top" wrapText="1"/>
    </xf>
    <xf numFmtId="0" fontId="29" fillId="5" borderId="13" xfId="0" applyFont="1" applyFill="1" applyBorder="1" applyAlignment="1">
      <alignment horizontal="center" vertical="top" wrapText="1"/>
    </xf>
    <xf numFmtId="0" fontId="18" fillId="4" borderId="2" xfId="0" applyFont="1" applyFill="1" applyBorder="1" applyAlignment="1">
      <alignment vertical="top" wrapText="1"/>
    </xf>
    <xf numFmtId="0" fontId="18" fillId="5" borderId="13" xfId="0" applyFont="1" applyFill="1" applyBorder="1" applyAlignment="1">
      <alignment vertical="top" wrapText="1"/>
    </xf>
    <xf numFmtId="0" fontId="20" fillId="4" borderId="15" xfId="0" applyFont="1" applyFill="1" applyBorder="1" applyAlignment="1">
      <alignment vertical="top" wrapText="1"/>
    </xf>
    <xf numFmtId="0" fontId="20" fillId="5" borderId="16" xfId="0" applyFont="1" applyFill="1" applyBorder="1" applyAlignment="1">
      <alignment vertical="top" wrapText="1"/>
    </xf>
    <xf numFmtId="0" fontId="17" fillId="2" borderId="7" xfId="0" applyFont="1" applyFill="1" applyBorder="1" applyAlignment="1">
      <alignment horizontal="left" vertical="top" wrapText="1"/>
    </xf>
    <xf numFmtId="0" fontId="20" fillId="9" borderId="18" xfId="0" applyFont="1" applyFill="1" applyBorder="1" applyAlignment="1">
      <alignment vertical="top" wrapText="1"/>
    </xf>
    <xf numFmtId="0" fontId="18" fillId="9" borderId="17" xfId="0" applyFont="1" applyFill="1" applyBorder="1" applyAlignment="1">
      <alignment horizontal="left" vertical="top" wrapText="1"/>
    </xf>
    <xf numFmtId="0" fontId="18" fillId="9" borderId="17" xfId="0" applyFont="1" applyFill="1" applyBorder="1" applyAlignment="1">
      <alignment vertical="top" wrapText="1"/>
    </xf>
    <xf numFmtId="0" fontId="18" fillId="9" borderId="19" xfId="0" applyFont="1" applyFill="1" applyBorder="1" applyAlignment="1">
      <alignment vertical="top" wrapText="1"/>
    </xf>
    <xf numFmtId="0" fontId="14" fillId="0" borderId="0" xfId="2" applyNumberFormat="1" applyFont="1" applyBorder="1" applyAlignment="1">
      <alignment vertical="top"/>
    </xf>
    <xf numFmtId="0" fontId="12" fillId="0" borderId="0" xfId="2" applyNumberFormat="1" applyBorder="1" applyAlignment="1">
      <alignment vertical="top"/>
    </xf>
    <xf numFmtId="0" fontId="13" fillId="0" borderId="0" xfId="2" applyNumberFormat="1" applyFont="1" applyBorder="1" applyAlignment="1">
      <alignment vertical="top"/>
    </xf>
    <xf numFmtId="49" fontId="38" fillId="2" borderId="30" xfId="2" applyNumberFormat="1" applyFont="1" applyFill="1" applyBorder="1" applyAlignment="1">
      <alignment horizontal="center" vertical="top"/>
    </xf>
    <xf numFmtId="49" fontId="38" fillId="2" borderId="32" xfId="2" applyNumberFormat="1" applyFont="1" applyFill="1" applyBorder="1">
      <alignment vertical="top" wrapText="1"/>
    </xf>
    <xf numFmtId="49" fontId="38" fillId="2" borderId="21" xfId="2" applyNumberFormat="1" applyFont="1" applyFill="1" applyBorder="1">
      <alignment vertical="top" wrapText="1"/>
    </xf>
    <xf numFmtId="49" fontId="38" fillId="2" borderId="21" xfId="2" applyNumberFormat="1" applyFont="1" applyFill="1" applyBorder="1" applyAlignment="1">
      <alignment horizontal="center" vertical="top"/>
    </xf>
    <xf numFmtId="49" fontId="38" fillId="2" borderId="21" xfId="2" applyNumberFormat="1" applyFont="1" applyFill="1" applyBorder="1" applyAlignment="1">
      <alignment vertical="top"/>
    </xf>
    <xf numFmtId="49" fontId="38" fillId="2" borderId="34" xfId="2" applyNumberFormat="1" applyFont="1" applyFill="1" applyBorder="1" applyAlignment="1">
      <alignment vertical="top"/>
    </xf>
    <xf numFmtId="0" fontId="39" fillId="9" borderId="26" xfId="2" applyNumberFormat="1" applyFont="1" applyFill="1" applyBorder="1" applyAlignment="1">
      <alignment horizontal="center" vertical="top"/>
    </xf>
    <xf numFmtId="49" fontId="40" fillId="9" borderId="23" xfId="2" applyNumberFormat="1" applyFont="1" applyFill="1" applyBorder="1">
      <alignment vertical="top" wrapText="1"/>
    </xf>
    <xf numFmtId="49" fontId="40" fillId="9" borderId="1" xfId="2" applyNumberFormat="1" applyFont="1" applyFill="1" applyBorder="1">
      <alignment vertical="top" wrapText="1"/>
    </xf>
    <xf numFmtId="49" fontId="41" fillId="3" borderId="1" xfId="2" applyNumberFormat="1" applyFont="1" applyFill="1" applyBorder="1" applyAlignment="1">
      <alignment horizontal="center" vertical="top"/>
    </xf>
    <xf numFmtId="49" fontId="40" fillId="9" borderId="20" xfId="2" applyNumberFormat="1" applyFont="1" applyFill="1" applyBorder="1">
      <alignment vertical="top" wrapText="1"/>
    </xf>
    <xf numFmtId="0" fontId="39" fillId="7" borderId="26" xfId="2" applyNumberFormat="1" applyFont="1" applyFill="1" applyBorder="1" applyAlignment="1">
      <alignment horizontal="center" vertical="top"/>
    </xf>
    <xf numFmtId="49" fontId="40" fillId="0" borderId="23" xfId="2" applyNumberFormat="1" applyFont="1" applyBorder="1">
      <alignment vertical="top" wrapText="1"/>
    </xf>
    <xf numFmtId="49" fontId="40" fillId="0" borderId="1" xfId="2" applyNumberFormat="1" applyFont="1" applyBorder="1">
      <alignment vertical="top" wrapText="1"/>
    </xf>
    <xf numFmtId="49" fontId="40" fillId="0" borderId="20" xfId="2" applyNumberFormat="1" applyFont="1" applyBorder="1">
      <alignment vertical="top" wrapText="1"/>
    </xf>
    <xf numFmtId="49" fontId="42" fillId="4" borderId="1" xfId="2" applyNumberFormat="1" applyFont="1" applyFill="1" applyBorder="1" applyAlignment="1">
      <alignment horizontal="center" vertical="top"/>
    </xf>
    <xf numFmtId="49" fontId="43" fillId="5" borderId="1" xfId="2" applyNumberFormat="1" applyFont="1" applyFill="1" applyBorder="1" applyAlignment="1">
      <alignment horizontal="center" vertical="top"/>
    </xf>
    <xf numFmtId="49" fontId="39" fillId="9" borderId="26" xfId="2" applyNumberFormat="1" applyFont="1" applyFill="1" applyBorder="1" applyAlignment="1">
      <alignment horizontal="center"/>
    </xf>
    <xf numFmtId="49" fontId="39" fillId="7" borderId="26" xfId="2" applyNumberFormat="1" applyFont="1" applyFill="1" applyBorder="1" applyAlignment="1">
      <alignment horizontal="center"/>
    </xf>
    <xf numFmtId="49" fontId="40" fillId="9" borderId="27" xfId="2" applyNumberFormat="1" applyFont="1" applyFill="1" applyBorder="1">
      <alignment vertical="top" wrapText="1"/>
    </xf>
    <xf numFmtId="49" fontId="40" fillId="9" borderId="24" xfId="2" applyNumberFormat="1" applyFont="1" applyFill="1" applyBorder="1">
      <alignment vertical="top" wrapText="1"/>
    </xf>
    <xf numFmtId="49" fontId="43" fillId="5" borderId="24" xfId="2" applyNumberFormat="1" applyFont="1" applyFill="1" applyBorder="1" applyAlignment="1">
      <alignment horizontal="center" vertical="top"/>
    </xf>
    <xf numFmtId="49" fontId="40" fillId="9" borderId="22" xfId="2" applyNumberFormat="1" applyFont="1" applyFill="1" applyBorder="1">
      <alignment vertical="top" wrapText="1"/>
    </xf>
    <xf numFmtId="49" fontId="39" fillId="7" borderId="29" xfId="2" applyNumberFormat="1" applyFont="1" applyFill="1" applyBorder="1" applyAlignment="1">
      <alignment horizontal="center"/>
    </xf>
    <xf numFmtId="49" fontId="40" fillId="0" borderId="28" xfId="2" applyNumberFormat="1" applyFont="1" applyBorder="1">
      <alignment vertical="top" wrapText="1"/>
    </xf>
    <xf numFmtId="49" fontId="40" fillId="0" borderId="25" xfId="2" applyNumberFormat="1" applyFont="1" applyBorder="1">
      <alignment vertical="top" wrapText="1"/>
    </xf>
    <xf numFmtId="49" fontId="43" fillId="5" borderId="25" xfId="2" applyNumberFormat="1" applyFont="1" applyFill="1" applyBorder="1" applyAlignment="1">
      <alignment horizontal="center" vertical="top"/>
    </xf>
    <xf numFmtId="49" fontId="40" fillId="9" borderId="36" xfId="2" applyNumberFormat="1" applyFont="1" applyFill="1" applyBorder="1" applyAlignment="1">
      <alignment horizontal="center" vertical="top"/>
    </xf>
    <xf numFmtId="49" fontId="40" fillId="0" borderId="36" xfId="2" applyNumberFormat="1" applyFont="1" applyBorder="1" applyAlignment="1">
      <alignment horizontal="center" vertical="top"/>
    </xf>
    <xf numFmtId="49" fontId="40" fillId="9" borderId="38" xfId="2" applyNumberFormat="1" applyFont="1" applyFill="1" applyBorder="1" applyAlignment="1">
      <alignment horizontal="center" vertical="top"/>
    </xf>
    <xf numFmtId="49" fontId="40" fillId="0" borderId="38" xfId="2" applyNumberFormat="1" applyFont="1" applyBorder="1" applyAlignment="1">
      <alignment horizontal="center" vertical="top"/>
    </xf>
    <xf numFmtId="49" fontId="40" fillId="0" borderId="37" xfId="2" applyNumberFormat="1" applyFont="1" applyBorder="1" applyAlignment="1">
      <alignment horizontal="center" vertical="top"/>
    </xf>
    <xf numFmtId="49" fontId="40" fillId="9" borderId="37" xfId="2" applyNumberFormat="1" applyFont="1" applyFill="1" applyBorder="1" applyAlignment="1">
      <alignment horizontal="center" vertical="top"/>
    </xf>
    <xf numFmtId="49" fontId="38" fillId="2" borderId="38" xfId="2" applyNumberFormat="1" applyFont="1" applyFill="1" applyBorder="1" applyAlignment="1">
      <alignment horizontal="center" vertical="top"/>
    </xf>
    <xf numFmtId="0" fontId="45" fillId="2" borderId="0" xfId="0" applyFont="1" applyFill="1"/>
    <xf numFmtId="0" fontId="0" fillId="2" borderId="0" xfId="0" applyFill="1"/>
    <xf numFmtId="0" fontId="5" fillId="2" borderId="6" xfId="0" applyFont="1" applyFill="1" applyBorder="1" applyAlignment="1">
      <alignment horizontal="center"/>
    </xf>
    <xf numFmtId="0" fontId="5" fillId="2" borderId="10" xfId="0" applyFont="1" applyFill="1" applyBorder="1"/>
    <xf numFmtId="0" fontId="5" fillId="2" borderId="11" xfId="0" applyFont="1" applyFill="1" applyBorder="1" applyAlignment="1">
      <alignment horizontal="center"/>
    </xf>
    <xf numFmtId="0" fontId="0" fillId="0" borderId="0" xfId="0" applyAlignment="1">
      <alignment horizontal="center"/>
    </xf>
    <xf numFmtId="164" fontId="0" fillId="0" borderId="0" xfId="0" applyNumberFormat="1" applyAlignment="1">
      <alignment horizontal="center"/>
    </xf>
    <xf numFmtId="0" fontId="0" fillId="9" borderId="0" xfId="0" applyFill="1" applyAlignment="1">
      <alignment horizontal="center"/>
    </xf>
    <xf numFmtId="0" fontId="4" fillId="0" borderId="0" xfId="0" applyFont="1" applyAlignment="1">
      <alignment horizontal="center"/>
    </xf>
    <xf numFmtId="0" fontId="0" fillId="9" borderId="0" xfId="0" applyFill="1"/>
    <xf numFmtId="0" fontId="4" fillId="9" borderId="0" xfId="0" applyFont="1" applyFill="1" applyAlignment="1">
      <alignment horizontal="center"/>
    </xf>
    <xf numFmtId="0" fontId="4" fillId="6" borderId="0" xfId="0" applyFont="1" applyFill="1"/>
    <xf numFmtId="0" fontId="4" fillId="6" borderId="0" xfId="0" applyFont="1" applyFill="1" applyAlignment="1">
      <alignment horizontal="center"/>
    </xf>
    <xf numFmtId="0" fontId="6" fillId="3" borderId="0" xfId="0" applyFont="1" applyFill="1" applyAlignment="1">
      <alignment horizontal="center"/>
    </xf>
    <xf numFmtId="0" fontId="7" fillId="4" borderId="0" xfId="0" applyFont="1" applyFill="1" applyAlignment="1">
      <alignment horizontal="center"/>
    </xf>
    <xf numFmtId="0" fontId="8" fillId="5" borderId="0" xfId="0" applyFont="1" applyFill="1" applyAlignment="1">
      <alignment horizontal="center"/>
    </xf>
    <xf numFmtId="0" fontId="1" fillId="3" borderId="0" xfId="0" applyFont="1" applyFill="1"/>
    <xf numFmtId="9" fontId="0" fillId="0" borderId="0" xfId="0" applyNumberFormat="1" applyAlignment="1">
      <alignment horizontal="center"/>
    </xf>
    <xf numFmtId="164" fontId="4" fillId="6" borderId="0" xfId="0" applyNumberFormat="1" applyFont="1" applyFill="1" applyAlignment="1">
      <alignment horizontal="center"/>
    </xf>
    <xf numFmtId="0" fontId="9" fillId="2" borderId="6" xfId="0" applyFont="1" applyFill="1" applyBorder="1" applyAlignment="1">
      <alignment vertical="top"/>
    </xf>
    <xf numFmtId="0" fontId="9" fillId="2" borderId="11" xfId="0" applyFont="1" applyFill="1" applyBorder="1" applyAlignment="1">
      <alignment vertical="top"/>
    </xf>
    <xf numFmtId="0" fontId="9" fillId="2" borderId="10" xfId="0" applyFont="1" applyFill="1" applyBorder="1" applyAlignment="1">
      <alignment vertical="top"/>
    </xf>
    <xf numFmtId="0" fontId="0" fillId="9" borderId="35" xfId="0" applyFill="1" applyBorder="1" applyAlignment="1">
      <alignment horizontal="left" vertical="top"/>
    </xf>
    <xf numFmtId="0" fontId="0" fillId="9" borderId="35" xfId="0" applyFill="1" applyBorder="1" applyAlignment="1">
      <alignment horizontal="left" vertical="top" wrapText="1"/>
    </xf>
    <xf numFmtId="0" fontId="0" fillId="9" borderId="43" xfId="0" applyFill="1" applyBorder="1" applyAlignment="1">
      <alignment horizontal="left" vertical="top" wrapText="1"/>
    </xf>
    <xf numFmtId="0" fontId="0" fillId="0" borderId="35" xfId="0" applyBorder="1" applyAlignment="1">
      <alignment horizontal="left" vertical="top"/>
    </xf>
    <xf numFmtId="0" fontId="0" fillId="0" borderId="35" xfId="0" applyBorder="1" applyAlignment="1">
      <alignment horizontal="left" vertical="top" wrapText="1"/>
    </xf>
    <xf numFmtId="0" fontId="0" fillId="0" borderId="43" xfId="0" applyBorder="1" applyAlignment="1">
      <alignment horizontal="left" vertical="top" wrapText="1"/>
    </xf>
    <xf numFmtId="0" fontId="0" fillId="0" borderId="39" xfId="0" applyBorder="1" applyAlignment="1">
      <alignment horizontal="left" vertical="top"/>
    </xf>
    <xf numFmtId="0" fontId="0" fillId="0" borderId="39" xfId="0" applyBorder="1" applyAlignment="1">
      <alignment horizontal="left" vertical="top" wrapText="1"/>
    </xf>
    <xf numFmtId="0" fontId="0" fillId="0" borderId="41" xfId="0" applyBorder="1" applyAlignment="1">
      <alignment horizontal="left" vertical="top" wrapText="1"/>
    </xf>
    <xf numFmtId="0" fontId="0" fillId="9" borderId="42" xfId="0" applyFill="1" applyBorder="1" applyAlignment="1">
      <alignment horizontal="center" vertical="top"/>
    </xf>
    <xf numFmtId="0" fontId="0" fillId="0" borderId="42" xfId="0" applyBorder="1" applyAlignment="1">
      <alignment horizontal="center" vertical="top"/>
    </xf>
    <xf numFmtId="0" fontId="0" fillId="0" borderId="40" xfId="0" applyBorder="1" applyAlignment="1">
      <alignment horizontal="center" vertical="top"/>
    </xf>
    <xf numFmtId="0" fontId="0" fillId="9" borderId="35" xfId="0" applyFill="1" applyBorder="1" applyAlignment="1">
      <alignment horizontal="center" vertical="top"/>
    </xf>
    <xf numFmtId="0" fontId="0" fillId="0" borderId="35" xfId="0" applyBorder="1" applyAlignment="1">
      <alignment horizontal="center" vertical="top"/>
    </xf>
    <xf numFmtId="0" fontId="0" fillId="0" borderId="39" xfId="0" applyBorder="1" applyAlignment="1">
      <alignment horizontal="center" vertical="top"/>
    </xf>
    <xf numFmtId="0" fontId="1" fillId="3" borderId="35" xfId="0" applyFont="1" applyFill="1" applyBorder="1" applyAlignment="1">
      <alignment horizontal="center" vertical="top"/>
    </xf>
    <xf numFmtId="0" fontId="3" fillId="4" borderId="35" xfId="0" applyFont="1" applyFill="1" applyBorder="1" applyAlignment="1">
      <alignment horizontal="center" vertical="top"/>
    </xf>
    <xf numFmtId="0" fontId="2" fillId="5" borderId="35" xfId="0" applyFont="1" applyFill="1" applyBorder="1" applyAlignment="1">
      <alignment horizontal="center" vertical="top"/>
    </xf>
    <xf numFmtId="0" fontId="2" fillId="5" borderId="39" xfId="0" applyFont="1" applyFill="1" applyBorder="1" applyAlignment="1">
      <alignment horizontal="center" vertical="top"/>
    </xf>
    <xf numFmtId="0" fontId="3" fillId="4" borderId="0" xfId="0" applyFont="1" applyFill="1"/>
    <xf numFmtId="0" fontId="2" fillId="5" borderId="0" xfId="0" applyFont="1" applyFill="1"/>
    <xf numFmtId="0" fontId="4" fillId="0" borderId="0" xfId="0" applyFont="1"/>
    <xf numFmtId="9" fontId="4" fillId="0" borderId="0" xfId="0" applyNumberFormat="1" applyFont="1" applyAlignment="1">
      <alignment horizontal="center"/>
    </xf>
    <xf numFmtId="0" fontId="44" fillId="8" borderId="0" xfId="0" applyFont="1" applyFill="1" applyAlignment="1">
      <alignment horizontal="left" vertical="top" wrapText="1"/>
    </xf>
    <xf numFmtId="0" fontId="35" fillId="8" borderId="0" xfId="0" applyFont="1" applyFill="1" applyAlignment="1">
      <alignment horizontal="left" vertical="top" wrapText="1"/>
    </xf>
    <xf numFmtId="0" fontId="36" fillId="8" borderId="31" xfId="2" applyFont="1" applyFill="1" applyBorder="1" applyAlignment="1">
      <alignment horizontal="left" vertical="top"/>
    </xf>
    <xf numFmtId="0" fontId="37" fillId="8" borderId="33" xfId="2" applyFont="1" applyFill="1" applyBorder="1" applyAlignment="1">
      <alignment horizontal="left" vertical="top"/>
    </xf>
    <xf numFmtId="0" fontId="37" fillId="8" borderId="35" xfId="2" applyFont="1" applyFill="1" applyBorder="1" applyAlignment="1">
      <alignment horizontal="left" vertical="top"/>
    </xf>
    <xf numFmtId="0" fontId="18" fillId="9" borderId="0" xfId="0" applyFont="1" applyFill="1" applyBorder="1" applyAlignment="1">
      <alignment horizontal="center" vertical="top" wrapText="1"/>
    </xf>
    <xf numFmtId="0" fontId="18" fillId="9" borderId="0" xfId="0" applyFont="1" applyFill="1" applyBorder="1" applyAlignment="1">
      <alignment vertical="top" wrapText="1"/>
    </xf>
    <xf numFmtId="0" fontId="20" fillId="9" borderId="44" xfId="0" applyFont="1" applyFill="1" applyBorder="1" applyAlignment="1">
      <alignment vertical="top" wrapText="1"/>
    </xf>
    <xf numFmtId="0" fontId="0" fillId="0" borderId="0" xfId="0" applyBorder="1" applyAlignment="1">
      <alignment vertical="top" wrapText="1"/>
    </xf>
  </cellXfs>
  <cellStyles count="3">
    <cellStyle name="Hyperlink" xfId="1" builtinId="8"/>
    <cellStyle name="Normal" xfId="0" builtinId="0"/>
    <cellStyle name="Normal 2" xfId="2" xr:uid="{308AD68B-7CF1-4543-82CC-05C152874E6D}"/>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11</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AEFI Management</c:v>
                </c:pt>
                <c:pt idx="1">
                  <c:v>Signal ID &amp; Assessment</c:v>
                </c:pt>
                <c:pt idx="2">
                  <c:v>Clear Communication</c:v>
                </c:pt>
                <c:pt idx="3">
                  <c:v>Data Integration</c:v>
                </c:pt>
                <c:pt idx="4">
                  <c:v>Research Contribution</c:v>
                </c:pt>
                <c:pt idx="5">
                  <c:v>Collaborations</c:v>
                </c:pt>
                <c:pt idx="6">
                  <c:v>Governance</c:v>
                </c:pt>
              </c:strCache>
            </c:strRef>
          </c:cat>
          <c:val>
            <c:numRef>
              <c:f>Summary!$B$10:$B$16</c:f>
              <c:numCache>
                <c:formatCode>General</c:formatCode>
                <c:ptCount val="7"/>
                <c:pt idx="0">
                  <c:v>2</c:v>
                </c:pt>
                <c:pt idx="1">
                  <c:v>0</c:v>
                </c:pt>
                <c:pt idx="2">
                  <c:v>1</c:v>
                </c:pt>
                <c:pt idx="3">
                  <c:v>0</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AEFI Management</c:v>
                </c:pt>
                <c:pt idx="1">
                  <c:v>Signal ID &amp; Assessment</c:v>
                </c:pt>
                <c:pt idx="2">
                  <c:v>Clear Communication</c:v>
                </c:pt>
                <c:pt idx="3">
                  <c:v>Data Integration</c:v>
                </c:pt>
                <c:pt idx="4">
                  <c:v>Research Contribution</c:v>
                </c:pt>
                <c:pt idx="5">
                  <c:v>Collaborations</c:v>
                </c:pt>
                <c:pt idx="6">
                  <c:v>Governance</c:v>
                </c:pt>
              </c:strCache>
            </c:strRef>
          </c:cat>
          <c:val>
            <c:numRef>
              <c:f>Summary!$C$10:$C$16</c:f>
              <c:numCache>
                <c:formatCode>General</c:formatCode>
                <c:ptCount val="7"/>
                <c:pt idx="0">
                  <c:v>3</c:v>
                </c:pt>
                <c:pt idx="1">
                  <c:v>4</c:v>
                </c:pt>
                <c:pt idx="2">
                  <c:v>0</c:v>
                </c:pt>
                <c:pt idx="3">
                  <c:v>1</c:v>
                </c:pt>
                <c:pt idx="4">
                  <c:v>1</c:v>
                </c:pt>
                <c:pt idx="5">
                  <c:v>2</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AEFI Management</c:v>
                </c:pt>
                <c:pt idx="1">
                  <c:v>Signal ID &amp; Assessment</c:v>
                </c:pt>
                <c:pt idx="2">
                  <c:v>Clear Communication</c:v>
                </c:pt>
                <c:pt idx="3">
                  <c:v>Data Integration</c:v>
                </c:pt>
                <c:pt idx="4">
                  <c:v>Research Contribution</c:v>
                </c:pt>
                <c:pt idx="5">
                  <c:v>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11</xdr:col>
      <xdr:colOff>444500</xdr:colOff>
      <xdr:row>15</xdr:row>
      <xdr:rowOff>101600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11</xdr:col>
      <xdr:colOff>444500</xdr:colOff>
      <xdr:row>31</xdr:row>
      <xdr:rowOff>101600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E9E452-172E-C743-8C29-3B7C4C394195}">
  <dimension ref="A1:T22"/>
  <sheetViews>
    <sheetView tabSelected="1" zoomScale="78" zoomScaleNormal="78" workbookViewId="0">
      <pane xSplit="1" ySplit="2" topLeftCell="B11" activePane="bottomRight" state="frozen"/>
      <selection pane="topRight" activeCell="B1" sqref="B1"/>
      <selection pane="bottomLeft" activeCell="A3" sqref="A3"/>
      <selection pane="bottomRight" activeCell="F33" sqref="F33"/>
    </sheetView>
  </sheetViews>
  <sheetFormatPr baseColWidth="10" defaultColWidth="10.6640625" defaultRowHeight="16" x14ac:dyDescent="0.2"/>
  <cols>
    <col min="1" max="1" width="11.6640625" style="3" customWidth="1"/>
    <col min="2" max="2" width="26.6640625" style="3" customWidth="1"/>
    <col min="3" max="3" width="23.33203125" style="3" customWidth="1"/>
    <col min="4" max="4" width="20" style="3" customWidth="1"/>
    <col min="5" max="5" width="11.6640625" style="3" customWidth="1"/>
    <col min="6" max="6" width="51.1640625" style="3" customWidth="1"/>
    <col min="7" max="7" width="54.5" style="3" customWidth="1"/>
    <col min="8" max="8" width="59.1640625" style="3" customWidth="1"/>
    <col min="9" max="9" width="50.6640625" style="3" customWidth="1"/>
    <col min="10" max="16384" width="10.6640625" style="3"/>
  </cols>
  <sheetData>
    <row r="1" spans="1:20" ht="31" customHeight="1" thickBot="1" x14ac:dyDescent="0.25">
      <c r="A1" s="185" t="s">
        <v>418</v>
      </c>
      <c r="B1" s="186"/>
      <c r="C1" s="186"/>
      <c r="D1" s="186"/>
      <c r="E1" s="186"/>
      <c r="F1" s="19"/>
      <c r="G1" s="19"/>
      <c r="H1" s="19"/>
      <c r="I1" s="19"/>
    </row>
    <row r="2" spans="1:20" s="5" customFormat="1" ht="19" x14ac:dyDescent="0.2">
      <c r="A2" s="161" t="s">
        <v>0</v>
      </c>
      <c r="B2" s="159" t="s">
        <v>1</v>
      </c>
      <c r="C2" s="159" t="s">
        <v>2</v>
      </c>
      <c r="D2" s="159" t="s">
        <v>3</v>
      </c>
      <c r="E2" s="159" t="s">
        <v>4</v>
      </c>
      <c r="F2" s="159" t="s">
        <v>5</v>
      </c>
      <c r="G2" s="159" t="s">
        <v>6</v>
      </c>
      <c r="H2" s="159" t="s">
        <v>7</v>
      </c>
      <c r="I2" s="160" t="s">
        <v>8</v>
      </c>
    </row>
    <row r="3" spans="1:20" ht="68" x14ac:dyDescent="0.2">
      <c r="A3" s="171">
        <v>1.1000000000000001</v>
      </c>
      <c r="B3" s="162" t="s">
        <v>9</v>
      </c>
      <c r="C3" s="162" t="s">
        <v>10</v>
      </c>
      <c r="D3" s="177" t="s">
        <v>373</v>
      </c>
      <c r="E3" s="174">
        <v>5</v>
      </c>
      <c r="F3" s="163" t="s">
        <v>12</v>
      </c>
      <c r="G3" s="163" t="s">
        <v>13</v>
      </c>
      <c r="H3" s="163" t="s">
        <v>14</v>
      </c>
      <c r="I3" s="164" t="s">
        <v>15</v>
      </c>
      <c r="J3" s="4"/>
      <c r="K3" s="4"/>
      <c r="L3" s="4"/>
      <c r="M3" s="4"/>
      <c r="N3" s="4"/>
      <c r="O3" s="4"/>
      <c r="P3" s="4"/>
      <c r="Q3" s="4"/>
      <c r="R3" s="4"/>
      <c r="S3" s="4"/>
      <c r="T3" s="4"/>
    </row>
    <row r="4" spans="1:20" ht="51" x14ac:dyDescent="0.2">
      <c r="A4" s="172">
        <v>1.2</v>
      </c>
      <c r="B4" s="165" t="s">
        <v>16</v>
      </c>
      <c r="C4" s="165" t="s">
        <v>10</v>
      </c>
      <c r="D4" s="177" t="s">
        <v>373</v>
      </c>
      <c r="E4" s="175">
        <v>5</v>
      </c>
      <c r="F4" s="166" t="s">
        <v>17</v>
      </c>
      <c r="G4" s="166" t="s">
        <v>18</v>
      </c>
      <c r="H4" s="166" t="s">
        <v>19</v>
      </c>
      <c r="I4" s="167" t="s">
        <v>20</v>
      </c>
      <c r="J4" s="4"/>
      <c r="K4" s="4"/>
      <c r="L4" s="4"/>
      <c r="M4" s="4"/>
      <c r="N4" s="4"/>
      <c r="O4" s="4"/>
      <c r="P4" s="4"/>
      <c r="Q4" s="4"/>
      <c r="R4" s="4"/>
      <c r="S4" s="4"/>
      <c r="T4" s="4"/>
    </row>
    <row r="5" spans="1:20" ht="68" x14ac:dyDescent="0.2">
      <c r="A5" s="171">
        <v>1.3</v>
      </c>
      <c r="B5" s="162" t="s">
        <v>21</v>
      </c>
      <c r="C5" s="162" t="s">
        <v>10</v>
      </c>
      <c r="D5" s="178" t="s">
        <v>417</v>
      </c>
      <c r="E5" s="174">
        <v>3</v>
      </c>
      <c r="F5" s="163" t="s">
        <v>22</v>
      </c>
      <c r="G5" s="163" t="s">
        <v>23</v>
      </c>
      <c r="H5" s="163" t="s">
        <v>24</v>
      </c>
      <c r="I5" s="164" t="s">
        <v>25</v>
      </c>
      <c r="J5" s="4"/>
      <c r="K5" s="4"/>
      <c r="L5" s="4"/>
      <c r="M5" s="4"/>
      <c r="N5" s="4"/>
      <c r="O5" s="4"/>
      <c r="P5" s="4"/>
      <c r="Q5" s="4"/>
      <c r="R5" s="4"/>
      <c r="S5" s="4"/>
      <c r="T5" s="4"/>
    </row>
    <row r="6" spans="1:20" ht="68" x14ac:dyDescent="0.2">
      <c r="A6" s="172">
        <v>1.4</v>
      </c>
      <c r="B6" s="165" t="s">
        <v>26</v>
      </c>
      <c r="C6" s="165" t="s">
        <v>10</v>
      </c>
      <c r="D6" s="178" t="s">
        <v>417</v>
      </c>
      <c r="E6" s="175">
        <v>3</v>
      </c>
      <c r="F6" s="166" t="s">
        <v>27</v>
      </c>
      <c r="G6" s="166" t="s">
        <v>28</v>
      </c>
      <c r="H6" s="166" t="s">
        <v>29</v>
      </c>
      <c r="I6" s="167" t="s">
        <v>30</v>
      </c>
      <c r="J6" s="4"/>
      <c r="K6" s="4"/>
      <c r="L6" s="4"/>
      <c r="M6" s="4"/>
      <c r="N6" s="4"/>
      <c r="O6" s="4"/>
      <c r="P6" s="4"/>
      <c r="Q6" s="4"/>
      <c r="R6" s="4"/>
      <c r="S6" s="4"/>
      <c r="T6" s="4"/>
    </row>
    <row r="7" spans="1:20" ht="51" x14ac:dyDescent="0.2">
      <c r="A7" s="171">
        <v>1.5</v>
      </c>
      <c r="B7" s="162" t="s">
        <v>31</v>
      </c>
      <c r="C7" s="162" t="s">
        <v>10</v>
      </c>
      <c r="D7" s="178" t="s">
        <v>417</v>
      </c>
      <c r="E7" s="174">
        <v>3</v>
      </c>
      <c r="F7" s="163" t="s">
        <v>27</v>
      </c>
      <c r="G7" s="163" t="s">
        <v>32</v>
      </c>
      <c r="H7" s="163" t="s">
        <v>33</v>
      </c>
      <c r="I7" s="164" t="s">
        <v>34</v>
      </c>
      <c r="J7" s="4"/>
      <c r="K7" s="4"/>
      <c r="L7" s="4"/>
      <c r="M7" s="4"/>
      <c r="N7" s="4"/>
      <c r="O7" s="4"/>
      <c r="P7" s="4"/>
      <c r="Q7" s="4"/>
      <c r="R7" s="4"/>
      <c r="S7" s="4"/>
      <c r="T7" s="4"/>
    </row>
    <row r="8" spans="1:20" ht="68" x14ac:dyDescent="0.2">
      <c r="A8" s="172">
        <v>2.1</v>
      </c>
      <c r="B8" s="165" t="s">
        <v>35</v>
      </c>
      <c r="C8" s="165" t="s">
        <v>36</v>
      </c>
      <c r="D8" s="178" t="s">
        <v>417</v>
      </c>
      <c r="E8" s="175">
        <v>4</v>
      </c>
      <c r="F8" s="166" t="s">
        <v>37</v>
      </c>
      <c r="G8" s="166" t="s">
        <v>38</v>
      </c>
      <c r="H8" s="166" t="s">
        <v>39</v>
      </c>
      <c r="I8" s="167" t="s">
        <v>40</v>
      </c>
      <c r="J8" s="4"/>
      <c r="K8" s="4"/>
      <c r="L8" s="4"/>
      <c r="M8" s="4"/>
      <c r="N8" s="4"/>
      <c r="O8" s="4"/>
      <c r="P8" s="4"/>
      <c r="Q8" s="4"/>
      <c r="R8" s="4"/>
      <c r="S8" s="4"/>
      <c r="T8" s="4"/>
    </row>
    <row r="9" spans="1:20" ht="68" x14ac:dyDescent="0.2">
      <c r="A9" s="171">
        <v>2.2000000000000002</v>
      </c>
      <c r="B9" s="162" t="s">
        <v>41</v>
      </c>
      <c r="C9" s="162" t="s">
        <v>36</v>
      </c>
      <c r="D9" s="179" t="s">
        <v>384</v>
      </c>
      <c r="E9" s="174">
        <v>5</v>
      </c>
      <c r="F9" s="163" t="s">
        <v>43</v>
      </c>
      <c r="G9" s="163" t="s">
        <v>44</v>
      </c>
      <c r="H9" s="163" t="s">
        <v>45</v>
      </c>
      <c r="I9" s="164" t="s">
        <v>46</v>
      </c>
      <c r="J9" s="4"/>
      <c r="K9" s="4"/>
      <c r="L9" s="4"/>
      <c r="M9" s="4"/>
      <c r="N9" s="4"/>
      <c r="O9" s="4"/>
      <c r="P9" s="4"/>
      <c r="Q9" s="4"/>
      <c r="R9" s="4"/>
      <c r="S9" s="4"/>
      <c r="T9" s="4"/>
    </row>
    <row r="10" spans="1:20" ht="85" x14ac:dyDescent="0.2">
      <c r="A10" s="172">
        <v>2.2999999999999998</v>
      </c>
      <c r="B10" s="165" t="s">
        <v>47</v>
      </c>
      <c r="C10" s="165" t="s">
        <v>36</v>
      </c>
      <c r="D10" s="179" t="s">
        <v>384</v>
      </c>
      <c r="E10" s="175">
        <v>5</v>
      </c>
      <c r="F10" s="166" t="s">
        <v>48</v>
      </c>
      <c r="G10" s="166" t="s">
        <v>49</v>
      </c>
      <c r="H10" s="166" t="s">
        <v>50</v>
      </c>
      <c r="I10" s="167" t="s">
        <v>51</v>
      </c>
      <c r="J10" s="4"/>
      <c r="K10" s="4"/>
      <c r="L10" s="4"/>
      <c r="M10" s="4"/>
      <c r="N10" s="4"/>
      <c r="O10" s="4"/>
      <c r="P10" s="4"/>
      <c r="Q10" s="4"/>
      <c r="R10" s="4"/>
      <c r="S10" s="4"/>
      <c r="T10" s="4"/>
    </row>
    <row r="11" spans="1:20" ht="85" x14ac:dyDescent="0.2">
      <c r="A11" s="171">
        <v>2.4</v>
      </c>
      <c r="B11" s="162" t="s">
        <v>52</v>
      </c>
      <c r="C11" s="162" t="s">
        <v>36</v>
      </c>
      <c r="D11" s="178" t="s">
        <v>417</v>
      </c>
      <c r="E11" s="174">
        <v>5</v>
      </c>
      <c r="F11" s="163" t="s">
        <v>125</v>
      </c>
      <c r="G11" s="163" t="s">
        <v>53</v>
      </c>
      <c r="H11" s="163" t="s">
        <v>54</v>
      </c>
      <c r="I11" s="164" t="s">
        <v>363</v>
      </c>
      <c r="J11" s="4"/>
      <c r="K11" s="4"/>
      <c r="L11" s="4"/>
      <c r="M11" s="4"/>
      <c r="N11" s="4"/>
      <c r="O11" s="4"/>
      <c r="P11" s="4"/>
      <c r="Q11" s="4"/>
      <c r="R11" s="4"/>
      <c r="S11" s="4"/>
      <c r="T11" s="4"/>
    </row>
    <row r="12" spans="1:20" ht="51" x14ac:dyDescent="0.2">
      <c r="A12" s="172">
        <v>2.5</v>
      </c>
      <c r="B12" s="165" t="s">
        <v>55</v>
      </c>
      <c r="C12" s="165" t="s">
        <v>36</v>
      </c>
      <c r="D12" s="179" t="s">
        <v>384</v>
      </c>
      <c r="E12" s="175">
        <v>4</v>
      </c>
      <c r="F12" s="166" t="s">
        <v>56</v>
      </c>
      <c r="G12" s="166" t="s">
        <v>57</v>
      </c>
      <c r="H12" s="166" t="s">
        <v>58</v>
      </c>
      <c r="I12" s="167" t="s">
        <v>59</v>
      </c>
      <c r="J12" s="4"/>
      <c r="K12" s="4"/>
      <c r="L12" s="4"/>
      <c r="M12" s="4"/>
      <c r="N12" s="4"/>
      <c r="O12" s="4"/>
      <c r="P12" s="4"/>
      <c r="Q12" s="4"/>
      <c r="R12" s="4"/>
      <c r="S12" s="4"/>
      <c r="T12" s="4"/>
    </row>
    <row r="13" spans="1:20" ht="51" x14ac:dyDescent="0.2">
      <c r="A13" s="171">
        <v>2.6</v>
      </c>
      <c r="B13" s="162" t="s">
        <v>60</v>
      </c>
      <c r="C13" s="162" t="s">
        <v>36</v>
      </c>
      <c r="D13" s="179" t="s">
        <v>384</v>
      </c>
      <c r="E13" s="174">
        <v>3</v>
      </c>
      <c r="F13" s="163" t="s">
        <v>22</v>
      </c>
      <c r="G13" s="163" t="s">
        <v>61</v>
      </c>
      <c r="H13" s="163" t="s">
        <v>62</v>
      </c>
      <c r="I13" s="164" t="s">
        <v>63</v>
      </c>
      <c r="J13" s="4"/>
      <c r="K13" s="4"/>
      <c r="L13" s="4"/>
      <c r="M13" s="4"/>
      <c r="N13" s="4"/>
      <c r="O13" s="4"/>
      <c r="P13" s="4"/>
      <c r="Q13" s="4"/>
      <c r="R13" s="4"/>
      <c r="S13" s="4"/>
      <c r="T13" s="4"/>
    </row>
    <row r="14" spans="1:20" ht="68" x14ac:dyDescent="0.2">
      <c r="A14" s="172">
        <v>2.7</v>
      </c>
      <c r="B14" s="165" t="s">
        <v>64</v>
      </c>
      <c r="C14" s="165" t="s">
        <v>36</v>
      </c>
      <c r="D14" s="178" t="s">
        <v>417</v>
      </c>
      <c r="E14" s="175">
        <v>3</v>
      </c>
      <c r="F14" s="166" t="s">
        <v>65</v>
      </c>
      <c r="G14" s="166" t="s">
        <v>66</v>
      </c>
      <c r="H14" s="166" t="s">
        <v>67</v>
      </c>
      <c r="I14" s="167" t="s">
        <v>68</v>
      </c>
      <c r="J14" s="4"/>
      <c r="K14" s="4"/>
      <c r="L14" s="4"/>
      <c r="M14" s="4"/>
      <c r="N14" s="4"/>
      <c r="O14" s="4"/>
      <c r="P14" s="4"/>
      <c r="Q14" s="4"/>
      <c r="R14" s="4"/>
      <c r="S14" s="4"/>
      <c r="T14" s="4"/>
    </row>
    <row r="15" spans="1:20" ht="97" customHeight="1" x14ac:dyDescent="0.2">
      <c r="A15" s="171">
        <v>2.8</v>
      </c>
      <c r="B15" s="162" t="s">
        <v>69</v>
      </c>
      <c r="C15" s="162" t="s">
        <v>36</v>
      </c>
      <c r="D15" s="178" t="s">
        <v>417</v>
      </c>
      <c r="E15" s="174">
        <v>3</v>
      </c>
      <c r="F15" s="163" t="s">
        <v>362</v>
      </c>
      <c r="G15" s="163" t="s">
        <v>364</v>
      </c>
      <c r="H15" s="163" t="s">
        <v>365</v>
      </c>
      <c r="I15" s="164" t="s">
        <v>363</v>
      </c>
      <c r="J15" s="4"/>
      <c r="K15" s="4"/>
      <c r="L15" s="4"/>
      <c r="M15" s="4"/>
      <c r="N15" s="4"/>
      <c r="O15" s="4"/>
      <c r="P15" s="4"/>
      <c r="Q15" s="4"/>
      <c r="R15" s="4"/>
      <c r="S15" s="4"/>
      <c r="T15" s="4"/>
    </row>
    <row r="16" spans="1:20" ht="51" x14ac:dyDescent="0.2">
      <c r="A16" s="172">
        <v>3.1</v>
      </c>
      <c r="B16" s="165" t="s">
        <v>70</v>
      </c>
      <c r="C16" s="165" t="s">
        <v>71</v>
      </c>
      <c r="D16" s="177" t="s">
        <v>373</v>
      </c>
      <c r="E16" s="175">
        <v>5</v>
      </c>
      <c r="F16" s="166" t="s">
        <v>72</v>
      </c>
      <c r="G16" s="166" t="s">
        <v>73</v>
      </c>
      <c r="H16" s="166" t="s">
        <v>74</v>
      </c>
      <c r="I16" s="167" t="s">
        <v>75</v>
      </c>
      <c r="J16" s="4"/>
      <c r="K16" s="4"/>
      <c r="L16" s="4"/>
      <c r="M16" s="4"/>
      <c r="N16" s="4"/>
      <c r="O16" s="4"/>
      <c r="P16" s="4"/>
      <c r="Q16" s="4"/>
      <c r="R16" s="4"/>
      <c r="S16" s="4"/>
      <c r="T16" s="4"/>
    </row>
    <row r="17" spans="1:20" ht="68" x14ac:dyDescent="0.2">
      <c r="A17" s="171">
        <v>4.0999999999999996</v>
      </c>
      <c r="B17" s="162" t="s">
        <v>76</v>
      </c>
      <c r="C17" s="162" t="s">
        <v>77</v>
      </c>
      <c r="D17" s="178" t="s">
        <v>417</v>
      </c>
      <c r="E17" s="174">
        <v>4</v>
      </c>
      <c r="F17" s="163" t="s">
        <v>27</v>
      </c>
      <c r="G17" s="163" t="s">
        <v>78</v>
      </c>
      <c r="H17" s="163" t="s">
        <v>79</v>
      </c>
      <c r="I17" s="164" t="s">
        <v>80</v>
      </c>
      <c r="J17" s="4"/>
      <c r="K17" s="4"/>
      <c r="L17" s="4"/>
      <c r="M17" s="4"/>
      <c r="N17" s="4"/>
      <c r="O17" s="4"/>
      <c r="P17" s="4"/>
      <c r="Q17" s="4"/>
      <c r="R17" s="4"/>
      <c r="S17" s="4"/>
      <c r="T17" s="4"/>
    </row>
    <row r="18" spans="1:20" ht="51" x14ac:dyDescent="0.2">
      <c r="A18" s="172">
        <v>5.0999999999999996</v>
      </c>
      <c r="B18" s="165" t="s">
        <v>81</v>
      </c>
      <c r="C18" s="165" t="s">
        <v>82</v>
      </c>
      <c r="D18" s="178" t="s">
        <v>417</v>
      </c>
      <c r="E18" s="175">
        <v>2</v>
      </c>
      <c r="F18" s="166" t="s">
        <v>83</v>
      </c>
      <c r="G18" s="166" t="s">
        <v>84</v>
      </c>
      <c r="H18" s="166" t="s">
        <v>85</v>
      </c>
      <c r="I18" s="167" t="s">
        <v>86</v>
      </c>
      <c r="J18" s="4"/>
      <c r="K18" s="4"/>
      <c r="L18" s="4"/>
      <c r="M18" s="4"/>
      <c r="N18" s="4"/>
      <c r="O18" s="4"/>
      <c r="P18" s="4"/>
      <c r="Q18" s="4"/>
      <c r="R18" s="4"/>
      <c r="S18" s="4"/>
      <c r="T18" s="4"/>
    </row>
    <row r="19" spans="1:20" ht="51" x14ac:dyDescent="0.2">
      <c r="A19" s="171" t="s">
        <v>87</v>
      </c>
      <c r="B19" s="162" t="s">
        <v>88</v>
      </c>
      <c r="C19" s="162" t="s">
        <v>89</v>
      </c>
      <c r="D19" s="178" t="s">
        <v>417</v>
      </c>
      <c r="E19" s="174">
        <v>3</v>
      </c>
      <c r="F19" s="163" t="s">
        <v>90</v>
      </c>
      <c r="G19" s="163" t="s">
        <v>91</v>
      </c>
      <c r="H19" s="163" t="s">
        <v>92</v>
      </c>
      <c r="I19" s="164" t="s">
        <v>93</v>
      </c>
      <c r="J19" s="4"/>
      <c r="K19" s="4"/>
      <c r="L19" s="4"/>
      <c r="M19" s="4"/>
      <c r="N19" s="4"/>
      <c r="O19" s="4"/>
      <c r="P19" s="4"/>
      <c r="Q19" s="4"/>
      <c r="R19" s="4"/>
      <c r="S19" s="4"/>
      <c r="T19" s="4"/>
    </row>
    <row r="20" spans="1:20" ht="51" x14ac:dyDescent="0.2">
      <c r="A20" s="172" t="s">
        <v>94</v>
      </c>
      <c r="B20" s="165" t="s">
        <v>95</v>
      </c>
      <c r="C20" s="165" t="s">
        <v>89</v>
      </c>
      <c r="D20" s="178" t="s">
        <v>417</v>
      </c>
      <c r="E20" s="175">
        <v>3</v>
      </c>
      <c r="F20" s="166" t="s">
        <v>96</v>
      </c>
      <c r="G20" s="166" t="s">
        <v>97</v>
      </c>
      <c r="H20" s="166" t="s">
        <v>98</v>
      </c>
      <c r="I20" s="167" t="s">
        <v>99</v>
      </c>
      <c r="J20" s="4"/>
      <c r="K20" s="4"/>
      <c r="L20" s="4"/>
      <c r="M20" s="4"/>
      <c r="N20" s="4"/>
      <c r="O20" s="4"/>
      <c r="P20" s="4"/>
      <c r="Q20" s="4"/>
      <c r="R20" s="4"/>
      <c r="S20" s="4"/>
      <c r="T20" s="4"/>
    </row>
    <row r="21" spans="1:20" ht="68" x14ac:dyDescent="0.2">
      <c r="A21" s="171" t="s">
        <v>100</v>
      </c>
      <c r="B21" s="162" t="s">
        <v>101</v>
      </c>
      <c r="C21" s="162" t="s">
        <v>102</v>
      </c>
      <c r="D21" s="179" t="s">
        <v>384</v>
      </c>
      <c r="E21" s="174">
        <v>5</v>
      </c>
      <c r="F21" s="163" t="s">
        <v>103</v>
      </c>
      <c r="G21" s="163" t="s">
        <v>104</v>
      </c>
      <c r="H21" s="163" t="s">
        <v>105</v>
      </c>
      <c r="I21" s="164" t="s">
        <v>106</v>
      </c>
      <c r="J21" s="4"/>
      <c r="K21" s="4"/>
      <c r="L21" s="4"/>
      <c r="M21" s="4"/>
      <c r="N21" s="4"/>
      <c r="O21" s="4"/>
      <c r="P21" s="4"/>
      <c r="Q21" s="4"/>
      <c r="R21" s="4"/>
      <c r="S21" s="4"/>
      <c r="T21" s="4"/>
    </row>
    <row r="22" spans="1:20" ht="85" x14ac:dyDescent="0.2">
      <c r="A22" s="173" t="s">
        <v>107</v>
      </c>
      <c r="B22" s="168" t="s">
        <v>108</v>
      </c>
      <c r="C22" s="168" t="s">
        <v>102</v>
      </c>
      <c r="D22" s="180" t="s">
        <v>384</v>
      </c>
      <c r="E22" s="176">
        <v>5</v>
      </c>
      <c r="F22" s="169" t="s">
        <v>109</v>
      </c>
      <c r="G22" s="169" t="s">
        <v>110</v>
      </c>
      <c r="H22" s="169" t="s">
        <v>111</v>
      </c>
      <c r="I22" s="170" t="s">
        <v>112</v>
      </c>
      <c r="J22" s="4"/>
      <c r="K22" s="4"/>
      <c r="L22" s="4"/>
      <c r="M22" s="4"/>
      <c r="N22" s="4"/>
      <c r="O22" s="4"/>
      <c r="P22" s="4"/>
      <c r="Q22" s="4"/>
      <c r="R22" s="4"/>
      <c r="S22" s="4"/>
      <c r="T22" s="4"/>
    </row>
  </sheetData>
  <mergeCells count="1">
    <mergeCell ref="A1:E1"/>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27"/>
  <sheetViews>
    <sheetView workbookViewId="0">
      <pane ySplit="1" topLeftCell="A2" activePane="bottomLeft" state="frozen"/>
      <selection pane="bottomLeft" activeCell="N21" sqref="N21"/>
    </sheetView>
  </sheetViews>
  <sheetFormatPr baseColWidth="10" defaultRowHeight="16" x14ac:dyDescent="0.2"/>
  <cols>
    <col min="1" max="1" width="26.6640625" customWidth="1"/>
    <col min="2" max="5" width="20" customWidth="1"/>
  </cols>
  <sheetData>
    <row r="1" spans="1:5" ht="21" x14ac:dyDescent="0.25">
      <c r="A1" s="140" t="s">
        <v>113</v>
      </c>
      <c r="B1" s="141"/>
      <c r="C1" s="141"/>
      <c r="D1" s="141"/>
      <c r="E1" s="141"/>
    </row>
    <row r="2" spans="1:5" ht="17" thickBot="1" x14ac:dyDescent="0.25"/>
    <row r="3" spans="1:5" x14ac:dyDescent="0.2">
      <c r="A3" s="143" t="s">
        <v>114</v>
      </c>
      <c r="B3" s="142" t="s">
        <v>115</v>
      </c>
      <c r="C3" s="144" t="s">
        <v>116</v>
      </c>
    </row>
    <row r="4" spans="1:5" x14ac:dyDescent="0.2">
      <c r="A4" s="156" t="s">
        <v>373</v>
      </c>
      <c r="B4" s="145">
        <v>3</v>
      </c>
      <c r="C4" s="157">
        <f>B4/B7</f>
        <v>0.15</v>
      </c>
    </row>
    <row r="5" spans="1:5" x14ac:dyDescent="0.2">
      <c r="A5" s="181" t="s">
        <v>417</v>
      </c>
      <c r="B5" s="145">
        <v>11</v>
      </c>
      <c r="C5" s="157">
        <f>B5/B7</f>
        <v>0.55000000000000004</v>
      </c>
    </row>
    <row r="6" spans="1:5" x14ac:dyDescent="0.2">
      <c r="A6" s="182" t="s">
        <v>384</v>
      </c>
      <c r="B6" s="145">
        <v>6</v>
      </c>
      <c r="C6" s="157">
        <f>B6/B7</f>
        <v>0.3</v>
      </c>
    </row>
    <row r="7" spans="1:5" x14ac:dyDescent="0.2">
      <c r="A7" s="183" t="s">
        <v>117</v>
      </c>
      <c r="B7" s="148">
        <f>SUM(B4:B6)</f>
        <v>20</v>
      </c>
      <c r="C7" s="184">
        <f>SUM(C4:C6)</f>
        <v>1</v>
      </c>
    </row>
    <row r="9" spans="1:5" x14ac:dyDescent="0.2">
      <c r="A9" s="1" t="s">
        <v>118</v>
      </c>
      <c r="B9" s="153" t="s">
        <v>11</v>
      </c>
      <c r="C9" s="154" t="s">
        <v>251</v>
      </c>
      <c r="D9" s="155" t="s">
        <v>42</v>
      </c>
      <c r="E9" s="2" t="s">
        <v>119</v>
      </c>
    </row>
    <row r="10" spans="1:5" x14ac:dyDescent="0.2">
      <c r="A10" s="149" t="s">
        <v>10</v>
      </c>
      <c r="B10" s="147">
        <v>2</v>
      </c>
      <c r="C10" s="147">
        <v>3</v>
      </c>
      <c r="D10" s="147">
        <v>0</v>
      </c>
      <c r="E10" s="150">
        <f t="shared" ref="E10:E16" si="0">SUM(B10:D10)</f>
        <v>5</v>
      </c>
    </row>
    <row r="11" spans="1:5" x14ac:dyDescent="0.2">
      <c r="A11" t="s">
        <v>36</v>
      </c>
      <c r="B11" s="145">
        <v>0</v>
      </c>
      <c r="C11" s="145">
        <v>4</v>
      </c>
      <c r="D11" s="145">
        <v>4</v>
      </c>
      <c r="E11" s="148">
        <f t="shared" si="0"/>
        <v>8</v>
      </c>
    </row>
    <row r="12" spans="1:5" x14ac:dyDescent="0.2">
      <c r="A12" s="149" t="s">
        <v>71</v>
      </c>
      <c r="B12" s="147">
        <v>1</v>
      </c>
      <c r="C12" s="147">
        <v>0</v>
      </c>
      <c r="D12" s="147">
        <v>0</v>
      </c>
      <c r="E12" s="150">
        <f t="shared" si="0"/>
        <v>1</v>
      </c>
    </row>
    <row r="13" spans="1:5" x14ac:dyDescent="0.2">
      <c r="A13" t="s">
        <v>77</v>
      </c>
      <c r="B13" s="145">
        <v>0</v>
      </c>
      <c r="C13" s="145">
        <v>1</v>
      </c>
      <c r="D13" s="145">
        <v>0</v>
      </c>
      <c r="E13" s="148">
        <f t="shared" si="0"/>
        <v>1</v>
      </c>
    </row>
    <row r="14" spans="1:5" x14ac:dyDescent="0.2">
      <c r="A14" s="149" t="s">
        <v>82</v>
      </c>
      <c r="B14" s="147">
        <v>0</v>
      </c>
      <c r="C14" s="147">
        <v>1</v>
      </c>
      <c r="D14" s="147">
        <v>0</v>
      </c>
      <c r="E14" s="150">
        <f t="shared" si="0"/>
        <v>1</v>
      </c>
    </row>
    <row r="15" spans="1:5" x14ac:dyDescent="0.2">
      <c r="A15" t="s">
        <v>89</v>
      </c>
      <c r="B15" s="145">
        <v>0</v>
      </c>
      <c r="C15" s="145">
        <v>2</v>
      </c>
      <c r="D15" s="145">
        <v>0</v>
      </c>
      <c r="E15" s="148">
        <f t="shared" si="0"/>
        <v>2</v>
      </c>
    </row>
    <row r="16" spans="1:5" x14ac:dyDescent="0.2">
      <c r="A16" s="149" t="s">
        <v>102</v>
      </c>
      <c r="B16" s="147">
        <v>0</v>
      </c>
      <c r="C16" s="147">
        <v>0</v>
      </c>
      <c r="D16" s="147">
        <v>2</v>
      </c>
      <c r="E16" s="150">
        <f t="shared" si="0"/>
        <v>2</v>
      </c>
    </row>
    <row r="17" spans="1:5" x14ac:dyDescent="0.2">
      <c r="A17" s="151" t="s">
        <v>117</v>
      </c>
      <c r="B17" s="152">
        <f>SUM(B10:B16)</f>
        <v>3</v>
      </c>
      <c r="C17" s="152">
        <f>SUM(C10:C16)</f>
        <v>11</v>
      </c>
      <c r="D17" s="152">
        <f>SUM(D10:D16)</f>
        <v>6</v>
      </c>
      <c r="E17" s="152">
        <f>SUM(E10:E16)</f>
        <v>20</v>
      </c>
    </row>
    <row r="19" spans="1:5" x14ac:dyDescent="0.2">
      <c r="A19" s="1" t="s">
        <v>120</v>
      </c>
      <c r="B19" s="2" t="s">
        <v>115</v>
      </c>
      <c r="C19" s="2" t="s">
        <v>121</v>
      </c>
      <c r="D19" s="2" t="s">
        <v>122</v>
      </c>
      <c r="E19" s="2" t="s">
        <v>123</v>
      </c>
    </row>
    <row r="20" spans="1:5" x14ac:dyDescent="0.2">
      <c r="A20" t="s">
        <v>10</v>
      </c>
      <c r="B20" s="145">
        <v>5</v>
      </c>
      <c r="C20" s="146">
        <v>3.8</v>
      </c>
      <c r="D20" s="145">
        <v>3</v>
      </c>
      <c r="E20" s="145">
        <v>5</v>
      </c>
    </row>
    <row r="21" spans="1:5" x14ac:dyDescent="0.2">
      <c r="A21" t="s">
        <v>36</v>
      </c>
      <c r="B21" s="145">
        <v>8</v>
      </c>
      <c r="C21" s="146">
        <v>4</v>
      </c>
      <c r="D21" s="145">
        <v>3</v>
      </c>
      <c r="E21" s="145">
        <v>5</v>
      </c>
    </row>
    <row r="22" spans="1:5" x14ac:dyDescent="0.2">
      <c r="A22" t="s">
        <v>71</v>
      </c>
      <c r="B22" s="145">
        <v>1</v>
      </c>
      <c r="C22" s="146">
        <v>5</v>
      </c>
      <c r="D22" s="145">
        <v>5</v>
      </c>
      <c r="E22" s="145">
        <v>5</v>
      </c>
    </row>
    <row r="23" spans="1:5" x14ac:dyDescent="0.2">
      <c r="A23" t="s">
        <v>77</v>
      </c>
      <c r="B23" s="145">
        <v>1</v>
      </c>
      <c r="C23" s="146">
        <v>4</v>
      </c>
      <c r="D23" s="145">
        <v>4</v>
      </c>
      <c r="E23" s="145">
        <v>4</v>
      </c>
    </row>
    <row r="24" spans="1:5" x14ac:dyDescent="0.2">
      <c r="A24" t="s">
        <v>82</v>
      </c>
      <c r="B24" s="145">
        <v>1</v>
      </c>
      <c r="C24" s="146">
        <v>2</v>
      </c>
      <c r="D24" s="145">
        <v>2</v>
      </c>
      <c r="E24" s="145">
        <v>2</v>
      </c>
    </row>
    <row r="25" spans="1:5" x14ac:dyDescent="0.2">
      <c r="A25" t="s">
        <v>89</v>
      </c>
      <c r="B25" s="145">
        <v>2</v>
      </c>
      <c r="C25" s="146">
        <v>3</v>
      </c>
      <c r="D25" s="145">
        <v>3</v>
      </c>
      <c r="E25" s="145">
        <v>3</v>
      </c>
    </row>
    <row r="26" spans="1:5" x14ac:dyDescent="0.2">
      <c r="A26" t="s">
        <v>102</v>
      </c>
      <c r="B26" s="145">
        <v>2</v>
      </c>
      <c r="C26" s="146">
        <v>5</v>
      </c>
      <c r="D26" s="145">
        <v>5</v>
      </c>
      <c r="E26" s="145">
        <v>5</v>
      </c>
    </row>
    <row r="27" spans="1:5" x14ac:dyDescent="0.2">
      <c r="A27" s="151" t="s">
        <v>124</v>
      </c>
      <c r="B27" s="152">
        <v>20</v>
      </c>
      <c r="C27" s="158">
        <v>3.9</v>
      </c>
      <c r="D27" s="152">
        <v>2</v>
      </c>
      <c r="E27" s="152">
        <v>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workbookViewId="0">
      <pane ySplit="1" topLeftCell="A71" activePane="bottomLeft" state="frozen"/>
      <selection pane="bottomLeft" activeCell="G73" sqref="G73"/>
    </sheetView>
  </sheetViews>
  <sheetFormatPr baseColWidth="10" defaultRowHeight="16" x14ac:dyDescent="0.2"/>
  <cols>
    <col min="1" max="1" width="30" style="3" customWidth="1"/>
    <col min="2" max="2" width="46.6640625" style="3" customWidth="1"/>
    <col min="3" max="3" width="50" style="3" customWidth="1"/>
    <col min="4" max="4" width="41.6640625" style="3" customWidth="1"/>
    <col min="5" max="12" width="10.83203125" style="3"/>
    <col min="13" max="16384" width="10.83203125" style="7"/>
  </cols>
  <sheetData>
    <row r="1" spans="1:4" ht="27" x14ac:dyDescent="0.2">
      <c r="A1" s="16" t="s">
        <v>239</v>
      </c>
      <c r="B1" s="17"/>
      <c r="C1" s="17"/>
      <c r="D1" s="17"/>
    </row>
    <row r="3" spans="1:4" ht="20" x14ac:dyDescent="0.2">
      <c r="A3" s="18" t="s">
        <v>126</v>
      </c>
      <c r="B3" s="19"/>
      <c r="C3" s="19"/>
      <c r="D3" s="19"/>
    </row>
    <row r="5" spans="1:4" ht="119" x14ac:dyDescent="0.2">
      <c r="A5" s="3" t="s">
        <v>127</v>
      </c>
    </row>
    <row r="7" spans="1:4" ht="34" x14ac:dyDescent="0.2">
      <c r="A7" s="8" t="s">
        <v>128</v>
      </c>
    </row>
    <row r="9" spans="1:4" ht="51" x14ac:dyDescent="0.2">
      <c r="A9" s="9" t="s">
        <v>129</v>
      </c>
    </row>
    <row r="11" spans="1:4" ht="20" x14ac:dyDescent="0.2">
      <c r="A11" s="18" t="s">
        <v>130</v>
      </c>
      <c r="B11" s="19"/>
      <c r="C11" s="19"/>
      <c r="D11" s="19"/>
    </row>
    <row r="13" spans="1:4" x14ac:dyDescent="0.2">
      <c r="A13" s="75" t="s">
        <v>407</v>
      </c>
      <c r="B13" s="76" t="s">
        <v>131</v>
      </c>
      <c r="C13" s="77" t="s">
        <v>132</v>
      </c>
    </row>
    <row r="14" spans="1:4" ht="32" x14ac:dyDescent="0.2">
      <c r="A14" s="23">
        <v>1</v>
      </c>
      <c r="B14" s="26" t="s">
        <v>133</v>
      </c>
      <c r="C14" s="26" t="s">
        <v>134</v>
      </c>
    </row>
    <row r="15" spans="1:4" ht="32" x14ac:dyDescent="0.2">
      <c r="A15" s="24">
        <v>2</v>
      </c>
      <c r="B15" s="25" t="s">
        <v>135</v>
      </c>
      <c r="C15" s="25" t="s">
        <v>136</v>
      </c>
    </row>
    <row r="16" spans="1:4" ht="32" x14ac:dyDescent="0.2">
      <c r="A16" s="23">
        <v>3</v>
      </c>
      <c r="B16" s="26" t="s">
        <v>137</v>
      </c>
      <c r="C16" s="26" t="s">
        <v>138</v>
      </c>
    </row>
    <row r="17" spans="1:4" ht="32" x14ac:dyDescent="0.2">
      <c r="A17" s="24">
        <v>4</v>
      </c>
      <c r="B17" s="25" t="s">
        <v>139</v>
      </c>
      <c r="C17" s="25" t="s">
        <v>140</v>
      </c>
    </row>
    <row r="18" spans="1:4" ht="32" x14ac:dyDescent="0.2">
      <c r="A18" s="23">
        <v>5</v>
      </c>
      <c r="B18" s="26" t="s">
        <v>141</v>
      </c>
      <c r="C18" s="26" t="s">
        <v>142</v>
      </c>
    </row>
    <row r="19" spans="1:4" ht="32" x14ac:dyDescent="0.2">
      <c r="A19" s="24">
        <v>6</v>
      </c>
      <c r="B19" s="25" t="s">
        <v>143</v>
      </c>
      <c r="C19" s="25" t="s">
        <v>144</v>
      </c>
    </row>
    <row r="20" spans="1:4" ht="32" x14ac:dyDescent="0.2">
      <c r="A20" s="190">
        <v>7</v>
      </c>
      <c r="B20" s="191" t="s">
        <v>145</v>
      </c>
      <c r="C20" s="191" t="s">
        <v>146</v>
      </c>
    </row>
    <row r="22" spans="1:4" ht="20" x14ac:dyDescent="0.2">
      <c r="A22" s="18" t="s">
        <v>147</v>
      </c>
      <c r="B22" s="19"/>
      <c r="C22" s="19"/>
      <c r="D22" s="19"/>
    </row>
    <row r="24" spans="1:4" ht="17" x14ac:dyDescent="0.2">
      <c r="A24" s="27" t="s">
        <v>148</v>
      </c>
    </row>
    <row r="26" spans="1:4" x14ac:dyDescent="0.2">
      <c r="A26" s="20" t="s">
        <v>149</v>
      </c>
      <c r="B26" s="20" t="s">
        <v>150</v>
      </c>
      <c r="C26" s="20" t="s">
        <v>151</v>
      </c>
    </row>
    <row r="27" spans="1:4" x14ac:dyDescent="0.2">
      <c r="A27" s="29" t="s">
        <v>152</v>
      </c>
      <c r="B27" s="26" t="s">
        <v>153</v>
      </c>
      <c r="C27" s="26" t="s">
        <v>154</v>
      </c>
    </row>
    <row r="28" spans="1:4" x14ac:dyDescent="0.2">
      <c r="A28" s="28" t="s">
        <v>155</v>
      </c>
      <c r="B28" s="25" t="s">
        <v>156</v>
      </c>
      <c r="C28" s="25" t="s">
        <v>157</v>
      </c>
    </row>
    <row r="29" spans="1:4" x14ac:dyDescent="0.2">
      <c r="A29" s="29" t="s">
        <v>158</v>
      </c>
      <c r="B29" s="26" t="s">
        <v>159</v>
      </c>
      <c r="C29" s="26" t="s">
        <v>160</v>
      </c>
    </row>
    <row r="31" spans="1:4" ht="17" x14ac:dyDescent="0.2">
      <c r="A31" s="27" t="s">
        <v>161</v>
      </c>
    </row>
    <row r="33" spans="1:3" x14ac:dyDescent="0.2">
      <c r="A33" s="20" t="s">
        <v>162</v>
      </c>
      <c r="B33" s="20" t="s">
        <v>150</v>
      </c>
      <c r="C33" s="20" t="s">
        <v>151</v>
      </c>
    </row>
    <row r="34" spans="1:3" x14ac:dyDescent="0.2">
      <c r="A34" s="29" t="s">
        <v>163</v>
      </c>
      <c r="B34" s="26" t="s">
        <v>164</v>
      </c>
      <c r="C34" s="26" t="s">
        <v>165</v>
      </c>
    </row>
    <row r="35" spans="1:3" x14ac:dyDescent="0.2">
      <c r="A35" s="28" t="s">
        <v>166</v>
      </c>
      <c r="B35" s="25" t="s">
        <v>167</v>
      </c>
      <c r="C35" s="25" t="s">
        <v>168</v>
      </c>
    </row>
    <row r="36" spans="1:3" ht="32" x14ac:dyDescent="0.2">
      <c r="A36" s="29" t="s">
        <v>169</v>
      </c>
      <c r="B36" s="26" t="s">
        <v>170</v>
      </c>
      <c r="C36" s="26" t="s">
        <v>171</v>
      </c>
    </row>
    <row r="38" spans="1:3" ht="17" x14ac:dyDescent="0.2">
      <c r="A38" s="27" t="s">
        <v>172</v>
      </c>
    </row>
    <row r="40" spans="1:3" x14ac:dyDescent="0.2">
      <c r="A40" s="20" t="s">
        <v>162</v>
      </c>
      <c r="B40" s="20" t="s">
        <v>150</v>
      </c>
      <c r="C40" s="20" t="s">
        <v>151</v>
      </c>
    </row>
    <row r="41" spans="1:3" ht="32" x14ac:dyDescent="0.2">
      <c r="A41" s="29" t="s">
        <v>173</v>
      </c>
      <c r="B41" s="26" t="s">
        <v>174</v>
      </c>
      <c r="C41" s="26" t="s">
        <v>175</v>
      </c>
    </row>
    <row r="42" spans="1:3" ht="32" x14ac:dyDescent="0.2">
      <c r="A42" s="28" t="s">
        <v>176</v>
      </c>
      <c r="B42" s="25" t="s">
        <v>177</v>
      </c>
      <c r="C42" s="25" t="s">
        <v>178</v>
      </c>
    </row>
    <row r="43" spans="1:3" ht="32" x14ac:dyDescent="0.2">
      <c r="A43" s="29" t="s">
        <v>179</v>
      </c>
      <c r="B43" s="26" t="s">
        <v>180</v>
      </c>
      <c r="C43" s="26" t="s">
        <v>181</v>
      </c>
    </row>
    <row r="45" spans="1:3" ht="17" x14ac:dyDescent="0.2">
      <c r="A45" s="27" t="s">
        <v>182</v>
      </c>
    </row>
    <row r="47" spans="1:3" x14ac:dyDescent="0.2">
      <c r="A47" s="20" t="s">
        <v>183</v>
      </c>
      <c r="B47" s="20" t="s">
        <v>150</v>
      </c>
      <c r="C47" s="20" t="s">
        <v>184</v>
      </c>
    </row>
    <row r="48" spans="1:3" ht="48" x14ac:dyDescent="0.2">
      <c r="A48" s="29" t="s">
        <v>185</v>
      </c>
      <c r="B48" s="26" t="s">
        <v>186</v>
      </c>
      <c r="C48" s="26" t="s">
        <v>187</v>
      </c>
    </row>
    <row r="49" spans="1:4" ht="32" x14ac:dyDescent="0.2">
      <c r="A49" s="28" t="s">
        <v>188</v>
      </c>
      <c r="B49" s="25" t="s">
        <v>189</v>
      </c>
      <c r="C49" s="25" t="s">
        <v>190</v>
      </c>
    </row>
    <row r="50" spans="1:4" ht="32" x14ac:dyDescent="0.2">
      <c r="A50" s="29" t="s">
        <v>191</v>
      </c>
      <c r="B50" s="26" t="s">
        <v>192</v>
      </c>
      <c r="C50" s="26" t="s">
        <v>193</v>
      </c>
    </row>
    <row r="53" spans="1:4" ht="40" x14ac:dyDescent="0.2">
      <c r="A53" s="18" t="s">
        <v>194</v>
      </c>
      <c r="B53" s="19"/>
      <c r="C53" s="19"/>
      <c r="D53" s="19"/>
    </row>
    <row r="55" spans="1:4" x14ac:dyDescent="0.2">
      <c r="A55" s="31" t="s">
        <v>195</v>
      </c>
      <c r="B55" s="32"/>
      <c r="C55" s="32"/>
      <c r="D55" s="32"/>
    </row>
    <row r="56" spans="1:4" ht="160" x14ac:dyDescent="0.2">
      <c r="A56" s="33" t="s">
        <v>196</v>
      </c>
      <c r="B56" s="32"/>
      <c r="C56" s="32"/>
      <c r="D56" s="32"/>
    </row>
    <row r="58" spans="1:4" ht="34" x14ac:dyDescent="0.2">
      <c r="A58" s="27" t="s">
        <v>197</v>
      </c>
    </row>
    <row r="60" spans="1:4" x14ac:dyDescent="0.2">
      <c r="A60" s="78" t="s">
        <v>198</v>
      </c>
      <c r="B60" s="76" t="s">
        <v>199</v>
      </c>
      <c r="C60" s="76" t="s">
        <v>200</v>
      </c>
      <c r="D60" s="77" t="s">
        <v>201</v>
      </c>
    </row>
    <row r="61" spans="1:4" ht="64" x14ac:dyDescent="0.2">
      <c r="A61" s="29" t="s">
        <v>202</v>
      </c>
      <c r="B61" s="26" t="s">
        <v>203</v>
      </c>
      <c r="C61" s="26" t="s">
        <v>204</v>
      </c>
      <c r="D61" s="26" t="s">
        <v>205</v>
      </c>
    </row>
    <row r="62" spans="1:4" ht="32" x14ac:dyDescent="0.2">
      <c r="A62" s="28" t="s">
        <v>206</v>
      </c>
      <c r="B62" s="25" t="s">
        <v>207</v>
      </c>
      <c r="C62" s="25" t="s">
        <v>208</v>
      </c>
      <c r="D62" s="25" t="s">
        <v>209</v>
      </c>
    </row>
    <row r="63" spans="1:4" ht="64" x14ac:dyDescent="0.2">
      <c r="A63" s="29" t="s">
        <v>210</v>
      </c>
      <c r="B63" s="26" t="s">
        <v>211</v>
      </c>
      <c r="C63" s="26" t="s">
        <v>212</v>
      </c>
      <c r="D63" s="26" t="s">
        <v>213</v>
      </c>
    </row>
    <row r="64" spans="1:4" ht="48" x14ac:dyDescent="0.2">
      <c r="A64" s="28" t="s">
        <v>214</v>
      </c>
      <c r="B64" s="25" t="s">
        <v>215</v>
      </c>
      <c r="C64" s="25" t="s">
        <v>216</v>
      </c>
      <c r="D64" s="25" t="s">
        <v>217</v>
      </c>
    </row>
    <row r="65" spans="1:5" ht="64" x14ac:dyDescent="0.2">
      <c r="A65" s="192" t="s">
        <v>218</v>
      </c>
      <c r="B65" s="191" t="s">
        <v>219</v>
      </c>
      <c r="C65" s="191" t="s">
        <v>220</v>
      </c>
      <c r="D65" s="191" t="s">
        <v>221</v>
      </c>
      <c r="E65" s="193"/>
    </row>
    <row r="67" spans="1:5" ht="17" x14ac:dyDescent="0.2">
      <c r="A67" s="27" t="s">
        <v>222</v>
      </c>
    </row>
    <row r="69" spans="1:5" ht="80" x14ac:dyDescent="0.2">
      <c r="A69" s="34" t="s">
        <v>223</v>
      </c>
      <c r="B69" s="35"/>
      <c r="C69" s="35"/>
      <c r="D69" s="35"/>
    </row>
    <row r="71" spans="1:5" ht="34" x14ac:dyDescent="0.2">
      <c r="A71" s="3" t="s">
        <v>224</v>
      </c>
    </row>
    <row r="73" spans="1:5" ht="51" x14ac:dyDescent="0.2">
      <c r="A73" s="29" t="s">
        <v>225</v>
      </c>
    </row>
    <row r="74" spans="1:5" ht="68" x14ac:dyDescent="0.2">
      <c r="A74" s="28" t="s">
        <v>226</v>
      </c>
    </row>
    <row r="75" spans="1:5" ht="68" x14ac:dyDescent="0.2">
      <c r="A75" s="29" t="s">
        <v>227</v>
      </c>
    </row>
    <row r="77" spans="1:5" x14ac:dyDescent="0.2">
      <c r="A77" s="36" t="s">
        <v>228</v>
      </c>
      <c r="B77" s="37"/>
      <c r="C77" s="37"/>
      <c r="D77" s="37"/>
    </row>
    <row r="78" spans="1:5" ht="176" x14ac:dyDescent="0.2">
      <c r="A78" s="38" t="s">
        <v>408</v>
      </c>
      <c r="B78" s="37"/>
      <c r="C78" s="37"/>
      <c r="D78" s="37"/>
    </row>
    <row r="80" spans="1:5" ht="20" x14ac:dyDescent="0.2">
      <c r="A80" s="18" t="s">
        <v>229</v>
      </c>
      <c r="B80" s="19"/>
      <c r="C80" s="19"/>
      <c r="D80" s="19"/>
    </row>
    <row r="82" spans="1:4" ht="144" x14ac:dyDescent="0.2">
      <c r="A82" s="39" t="s">
        <v>230</v>
      </c>
      <c r="B82" s="32"/>
      <c r="C82" s="32"/>
      <c r="D82" s="32"/>
    </row>
    <row r="84" spans="1:4" x14ac:dyDescent="0.2">
      <c r="A84" s="28" t="s">
        <v>231</v>
      </c>
    </row>
    <row r="86" spans="1:4" ht="48" x14ac:dyDescent="0.2">
      <c r="A86" s="26" t="s">
        <v>232</v>
      </c>
    </row>
    <row r="87" spans="1:4" ht="48" x14ac:dyDescent="0.2">
      <c r="A87" s="25" t="s">
        <v>233</v>
      </c>
    </row>
    <row r="88" spans="1:4" ht="48" x14ac:dyDescent="0.2">
      <c r="A88" s="26" t="s">
        <v>234</v>
      </c>
    </row>
    <row r="90" spans="1:4" ht="51" x14ac:dyDescent="0.2">
      <c r="A90" s="8" t="s">
        <v>235</v>
      </c>
    </row>
    <row r="91" spans="1:4" ht="17" x14ac:dyDescent="0.2">
      <c r="A91" s="40" t="s">
        <v>236</v>
      </c>
      <c r="B91" s="19"/>
      <c r="C91" s="19"/>
      <c r="D91" s="19"/>
    </row>
    <row r="92" spans="1:4" ht="51" x14ac:dyDescent="0.2">
      <c r="A92" s="40" t="s">
        <v>237</v>
      </c>
      <c r="B92" s="19"/>
      <c r="C92" s="19"/>
      <c r="D92" s="19"/>
    </row>
    <row r="93" spans="1:4" ht="68" x14ac:dyDescent="0.2">
      <c r="A93" s="40" t="s">
        <v>238</v>
      </c>
      <c r="B93" s="19"/>
      <c r="C93" s="19"/>
      <c r="D93" s="19"/>
    </row>
  </sheetData>
  <hyperlinks>
    <hyperlink ref="A7" r:id="rId1" xr:uid="{AE7DFB3D-A219-D34C-8AF5-0187FD13EE97}"/>
    <hyperlink ref="A90" r:id="rId2" location="burden-of-proof-and-accountability-framework" xr:uid="{A99B1CD3-9883-304B-AACC-9CB44E0D3BD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CB073-D11E-E345-B397-1457A195EB3C}">
  <dimension ref="A1:E139"/>
  <sheetViews>
    <sheetView workbookViewId="0">
      <pane ySplit="1" topLeftCell="A111" activePane="bottomLeft" state="frozen"/>
      <selection pane="bottomLeft" activeCell="C64" sqref="C64"/>
    </sheetView>
  </sheetViews>
  <sheetFormatPr baseColWidth="10" defaultRowHeight="16" x14ac:dyDescent="0.2"/>
  <cols>
    <col min="1" max="1" width="58.33203125" style="3" customWidth="1"/>
    <col min="2" max="2" width="46.6640625" style="6" customWidth="1"/>
    <col min="3" max="3" width="46.6640625" style="3" customWidth="1"/>
    <col min="4" max="4" width="41.6640625" style="3" customWidth="1"/>
    <col min="5" max="5" width="50" style="3" customWidth="1"/>
    <col min="6" max="16384" width="10.83203125" style="3"/>
  </cols>
  <sheetData>
    <row r="1" spans="1:5" ht="27" x14ac:dyDescent="0.2">
      <c r="A1" s="16" t="s">
        <v>409</v>
      </c>
      <c r="B1" s="41"/>
      <c r="C1" s="17"/>
      <c r="D1" s="17"/>
      <c r="E1" s="17"/>
    </row>
    <row r="3" spans="1:5" ht="20" x14ac:dyDescent="0.2">
      <c r="A3" s="18" t="s">
        <v>240</v>
      </c>
      <c r="B3" s="42"/>
      <c r="C3" s="19"/>
      <c r="D3" s="19"/>
      <c r="E3" s="19"/>
    </row>
    <row r="5" spans="1:5" ht="51" x14ac:dyDescent="0.2">
      <c r="A5" s="3" t="s">
        <v>241</v>
      </c>
    </row>
    <row r="9" spans="1:5" ht="20" x14ac:dyDescent="0.2">
      <c r="A9" s="18" t="s">
        <v>242</v>
      </c>
      <c r="B9" s="42"/>
      <c r="C9" s="19"/>
      <c r="D9" s="19"/>
      <c r="E9" s="19"/>
    </row>
    <row r="10" spans="1:5" ht="17" thickBot="1" x14ac:dyDescent="0.25"/>
    <row r="11" spans="1:5" ht="17" thickBot="1" x14ac:dyDescent="0.25">
      <c r="A11" s="84" t="s">
        <v>243</v>
      </c>
      <c r="B11" s="82" t="s">
        <v>244</v>
      </c>
      <c r="C11" s="79" t="s">
        <v>245</v>
      </c>
      <c r="D11" s="79" t="s">
        <v>246</v>
      </c>
      <c r="E11" s="85" t="s">
        <v>247</v>
      </c>
    </row>
    <row r="12" spans="1:5" ht="80" x14ac:dyDescent="0.2">
      <c r="A12" s="86" t="s">
        <v>373</v>
      </c>
      <c r="B12" s="87" t="s">
        <v>248</v>
      </c>
      <c r="C12" s="88" t="s">
        <v>249</v>
      </c>
      <c r="D12" s="88" t="s">
        <v>250</v>
      </c>
      <c r="E12" s="89" t="s">
        <v>410</v>
      </c>
    </row>
    <row r="13" spans="1:5" ht="96" x14ac:dyDescent="0.2">
      <c r="A13" s="90" t="s">
        <v>417</v>
      </c>
      <c r="B13" s="92" t="s">
        <v>252</v>
      </c>
      <c r="C13" s="94" t="s">
        <v>253</v>
      </c>
      <c r="D13" s="94" t="s">
        <v>254</v>
      </c>
      <c r="E13" s="96" t="s">
        <v>411</v>
      </c>
    </row>
    <row r="14" spans="1:5" ht="97" thickBot="1" x14ac:dyDescent="0.25">
      <c r="A14" s="91" t="s">
        <v>384</v>
      </c>
      <c r="B14" s="93" t="s">
        <v>255</v>
      </c>
      <c r="C14" s="95" t="s">
        <v>256</v>
      </c>
      <c r="D14" s="95" t="s">
        <v>257</v>
      </c>
      <c r="E14" s="97" t="s">
        <v>412</v>
      </c>
    </row>
    <row r="16" spans="1:5" ht="20" x14ac:dyDescent="0.2">
      <c r="A16" s="18" t="s">
        <v>258</v>
      </c>
      <c r="B16" s="42"/>
      <c r="C16" s="19"/>
      <c r="D16" s="19"/>
      <c r="E16" s="19"/>
    </row>
    <row r="18" spans="1:5" x14ac:dyDescent="0.2">
      <c r="A18" s="20" t="s">
        <v>259</v>
      </c>
      <c r="B18" s="43" t="s">
        <v>260</v>
      </c>
      <c r="C18" s="20" t="s">
        <v>261</v>
      </c>
    </row>
    <row r="19" spans="1:5" ht="64" x14ac:dyDescent="0.2">
      <c r="A19" s="29" t="s">
        <v>262</v>
      </c>
      <c r="B19" s="22" t="s">
        <v>263</v>
      </c>
      <c r="C19" s="26" t="s">
        <v>264</v>
      </c>
    </row>
    <row r="20" spans="1:5" ht="112" x14ac:dyDescent="0.2">
      <c r="A20" s="28" t="s">
        <v>265</v>
      </c>
      <c r="B20" s="21" t="s">
        <v>266</v>
      </c>
      <c r="C20" s="28" t="s">
        <v>413</v>
      </c>
    </row>
    <row r="21" spans="1:5" ht="96" x14ac:dyDescent="0.2">
      <c r="A21" s="29" t="s">
        <v>267</v>
      </c>
      <c r="B21" s="22" t="s">
        <v>268</v>
      </c>
      <c r="C21" s="29" t="s">
        <v>269</v>
      </c>
    </row>
    <row r="22" spans="1:5" ht="96" x14ac:dyDescent="0.2">
      <c r="A22" s="28" t="s">
        <v>270</v>
      </c>
      <c r="B22" s="21" t="s">
        <v>271</v>
      </c>
      <c r="C22" s="25" t="s">
        <v>272</v>
      </c>
    </row>
    <row r="25" spans="1:5" ht="20" x14ac:dyDescent="0.2">
      <c r="A25" s="18" t="s">
        <v>273</v>
      </c>
      <c r="B25" s="42"/>
      <c r="C25" s="19"/>
      <c r="D25" s="19"/>
      <c r="E25" s="19"/>
    </row>
    <row r="27" spans="1:5" x14ac:dyDescent="0.2">
      <c r="A27" s="30" t="s">
        <v>274</v>
      </c>
    </row>
    <row r="29" spans="1:5" ht="19" x14ac:dyDescent="0.2">
      <c r="A29" s="44" t="s">
        <v>275</v>
      </c>
      <c r="B29" s="10"/>
      <c r="C29" s="11"/>
      <c r="D29" s="11"/>
    </row>
    <row r="30" spans="1:5" ht="19" x14ac:dyDescent="0.2">
      <c r="A30" s="44" t="s">
        <v>276</v>
      </c>
      <c r="B30" s="10"/>
      <c r="C30" s="11"/>
      <c r="D30" s="11"/>
    </row>
    <row r="31" spans="1:5" ht="19" x14ac:dyDescent="0.2">
      <c r="A31" s="45" t="s">
        <v>277</v>
      </c>
      <c r="B31" s="10"/>
      <c r="C31" s="11"/>
      <c r="D31" s="11"/>
    </row>
    <row r="32" spans="1:5" ht="19" x14ac:dyDescent="0.2">
      <c r="A32" s="46" t="s">
        <v>278</v>
      </c>
      <c r="B32" s="10"/>
      <c r="C32" s="11"/>
      <c r="D32" s="11"/>
    </row>
    <row r="33" spans="1:5" ht="19" x14ac:dyDescent="0.2">
      <c r="A33" s="44" t="s">
        <v>279</v>
      </c>
      <c r="B33" s="10"/>
      <c r="C33" s="11"/>
      <c r="D33" s="11"/>
    </row>
    <row r="34" spans="1:5" ht="19" x14ac:dyDescent="0.2">
      <c r="A34" s="44" t="s">
        <v>280</v>
      </c>
      <c r="B34" s="10"/>
      <c r="C34" s="11"/>
      <c r="D34" s="11"/>
    </row>
    <row r="35" spans="1:5" ht="19" x14ac:dyDescent="0.2">
      <c r="A35" s="44" t="s">
        <v>281</v>
      </c>
      <c r="B35" s="10"/>
      <c r="C35" s="11"/>
      <c r="D35" s="11"/>
    </row>
    <row r="36" spans="1:5" ht="19" x14ac:dyDescent="0.2">
      <c r="A36" s="45" t="s">
        <v>282</v>
      </c>
      <c r="B36" s="10"/>
      <c r="C36" s="11"/>
      <c r="D36" s="11"/>
    </row>
    <row r="37" spans="1:5" ht="19" x14ac:dyDescent="0.2">
      <c r="A37" s="46" t="s">
        <v>283</v>
      </c>
      <c r="B37" s="10"/>
      <c r="C37" s="11"/>
      <c r="D37" s="11"/>
    </row>
    <row r="38" spans="1:5" ht="19" x14ac:dyDescent="0.2">
      <c r="A38" s="47" t="s">
        <v>284</v>
      </c>
      <c r="B38" s="10"/>
      <c r="C38" s="11"/>
      <c r="D38" s="11"/>
    </row>
    <row r="39" spans="1:5" ht="19" x14ac:dyDescent="0.2">
      <c r="A39" s="44" t="s">
        <v>285</v>
      </c>
      <c r="B39" s="10"/>
      <c r="C39" s="11"/>
      <c r="D39" s="11"/>
    </row>
    <row r="40" spans="1:5" ht="19" x14ac:dyDescent="0.2">
      <c r="A40" s="44" t="s">
        <v>286</v>
      </c>
      <c r="B40" s="10"/>
      <c r="C40" s="11"/>
      <c r="D40" s="11"/>
    </row>
    <row r="41" spans="1:5" ht="19" x14ac:dyDescent="0.2">
      <c r="A41" s="46" t="s">
        <v>287</v>
      </c>
      <c r="B41" s="10"/>
      <c r="C41" s="11"/>
      <c r="D41" s="11"/>
    </row>
    <row r="42" spans="1:5" ht="19" x14ac:dyDescent="0.2">
      <c r="A42" s="46" t="s">
        <v>288</v>
      </c>
      <c r="B42" s="10"/>
      <c r="C42" s="11"/>
      <c r="D42" s="11"/>
    </row>
    <row r="43" spans="1:5" ht="19" x14ac:dyDescent="0.2">
      <c r="A43" s="47" t="s">
        <v>289</v>
      </c>
      <c r="B43" s="10"/>
      <c r="C43" s="11"/>
      <c r="D43" s="11"/>
    </row>
    <row r="45" spans="1:5" ht="20" x14ac:dyDescent="0.2">
      <c r="A45" s="18" t="s">
        <v>290</v>
      </c>
      <c r="B45" s="42"/>
      <c r="C45" s="19"/>
      <c r="D45" s="19"/>
      <c r="E45" s="19"/>
    </row>
    <row r="46" spans="1:5" x14ac:dyDescent="0.2">
      <c r="A46" s="48" t="s">
        <v>291</v>
      </c>
    </row>
    <row r="47" spans="1:5" ht="17" thickBot="1" x14ac:dyDescent="0.25"/>
    <row r="48" spans="1:5" ht="17" thickBot="1" x14ac:dyDescent="0.25">
      <c r="A48" s="81" t="s">
        <v>292</v>
      </c>
      <c r="B48" s="98" t="s">
        <v>293</v>
      </c>
      <c r="C48" s="80" t="s">
        <v>294</v>
      </c>
      <c r="D48" s="83" t="s">
        <v>295</v>
      </c>
    </row>
    <row r="49" spans="1:5" ht="32" x14ac:dyDescent="0.2">
      <c r="A49" s="29" t="s">
        <v>296</v>
      </c>
      <c r="B49" s="22" t="s">
        <v>297</v>
      </c>
      <c r="C49" s="26" t="s">
        <v>298</v>
      </c>
      <c r="D49" s="26" t="s">
        <v>299</v>
      </c>
    </row>
    <row r="50" spans="1:5" ht="32" x14ac:dyDescent="0.2">
      <c r="A50" s="28" t="s">
        <v>300</v>
      </c>
      <c r="B50" s="21" t="s">
        <v>301</v>
      </c>
      <c r="C50" s="25" t="s">
        <v>302</v>
      </c>
      <c r="D50" s="25" t="s">
        <v>303</v>
      </c>
    </row>
    <row r="51" spans="1:5" ht="64" x14ac:dyDescent="0.2">
      <c r="A51" s="29" t="s">
        <v>304</v>
      </c>
      <c r="B51" s="22" t="s">
        <v>305</v>
      </c>
      <c r="C51" s="26" t="s">
        <v>306</v>
      </c>
      <c r="D51" s="26" t="s">
        <v>307</v>
      </c>
    </row>
    <row r="52" spans="1:5" ht="48" x14ac:dyDescent="0.2">
      <c r="A52" s="28" t="s">
        <v>308</v>
      </c>
      <c r="B52" s="21" t="s">
        <v>309</v>
      </c>
      <c r="C52" s="25" t="s">
        <v>310</v>
      </c>
      <c r="D52" s="25" t="s">
        <v>311</v>
      </c>
    </row>
    <row r="53" spans="1:5" ht="33" thickBot="1" x14ac:dyDescent="0.25">
      <c r="A53" s="99" t="s">
        <v>312</v>
      </c>
      <c r="B53" s="100" t="s">
        <v>313</v>
      </c>
      <c r="C53" s="101" t="s">
        <v>314</v>
      </c>
      <c r="D53" s="102" t="s">
        <v>315</v>
      </c>
    </row>
    <row r="55" spans="1:5" ht="20" x14ac:dyDescent="0.2">
      <c r="A55" s="18" t="s">
        <v>316</v>
      </c>
      <c r="B55" s="42"/>
      <c r="C55" s="19"/>
      <c r="D55" s="19"/>
      <c r="E55" s="19"/>
    </row>
    <row r="57" spans="1:5" x14ac:dyDescent="0.2">
      <c r="A57" s="39" t="s">
        <v>317</v>
      </c>
      <c r="B57" s="49"/>
      <c r="C57" s="32"/>
      <c r="D57" s="32"/>
      <c r="E57" s="32"/>
    </row>
    <row r="59" spans="1:5" x14ac:dyDescent="0.2">
      <c r="A59" s="30" t="s">
        <v>318</v>
      </c>
    </row>
    <row r="61" spans="1:5" x14ac:dyDescent="0.2">
      <c r="A61" s="51" t="s">
        <v>319</v>
      </c>
      <c r="B61" s="10"/>
    </row>
    <row r="62" spans="1:5" x14ac:dyDescent="0.2">
      <c r="A62" s="50" t="s">
        <v>320</v>
      </c>
      <c r="B62" s="10"/>
    </row>
    <row r="63" spans="1:5" x14ac:dyDescent="0.2">
      <c r="A63" s="51" t="s">
        <v>321</v>
      </c>
      <c r="B63" s="10"/>
    </row>
    <row r="64" spans="1:5" x14ac:dyDescent="0.2">
      <c r="A64" s="7"/>
      <c r="B64" s="10"/>
    </row>
    <row r="65" spans="1:5" x14ac:dyDescent="0.2">
      <c r="A65" s="50" t="s">
        <v>322</v>
      </c>
      <c r="B65" s="10"/>
    </row>
    <row r="66" spans="1:5" x14ac:dyDescent="0.2">
      <c r="A66" s="7"/>
      <c r="B66" s="10"/>
    </row>
    <row r="67" spans="1:5" x14ac:dyDescent="0.2">
      <c r="A67" s="53" t="s">
        <v>323</v>
      </c>
      <c r="B67" s="10"/>
    </row>
    <row r="68" spans="1:5" x14ac:dyDescent="0.2">
      <c r="A68" s="52" t="s">
        <v>324</v>
      </c>
      <c r="B68" s="10"/>
    </row>
    <row r="69" spans="1:5" x14ac:dyDescent="0.2">
      <c r="A69" s="53" t="s">
        <v>325</v>
      </c>
      <c r="B69" s="10"/>
    </row>
    <row r="70" spans="1:5" x14ac:dyDescent="0.2">
      <c r="A70" s="7"/>
      <c r="B70" s="10"/>
    </row>
    <row r="71" spans="1:5" ht="19" x14ac:dyDescent="0.2">
      <c r="A71" s="54" t="s">
        <v>326</v>
      </c>
      <c r="B71" s="55"/>
      <c r="C71" s="19"/>
      <c r="D71" s="19"/>
      <c r="E71" s="19"/>
    </row>
    <row r="72" spans="1:5" x14ac:dyDescent="0.2">
      <c r="A72" s="7"/>
      <c r="B72" s="10"/>
    </row>
    <row r="73" spans="1:5" x14ac:dyDescent="0.2">
      <c r="A73" s="56" t="s">
        <v>327</v>
      </c>
      <c r="B73" s="57"/>
      <c r="C73" s="58"/>
      <c r="D73" s="58"/>
      <c r="E73" s="58"/>
    </row>
    <row r="74" spans="1:5" x14ac:dyDescent="0.2">
      <c r="A74" s="7"/>
      <c r="B74" s="10"/>
    </row>
    <row r="75" spans="1:5" x14ac:dyDescent="0.2">
      <c r="A75" s="59" t="s">
        <v>328</v>
      </c>
      <c r="B75" s="10"/>
    </row>
    <row r="76" spans="1:5" x14ac:dyDescent="0.2">
      <c r="A76" s="7"/>
      <c r="B76" s="10"/>
    </row>
    <row r="77" spans="1:5" x14ac:dyDescent="0.2">
      <c r="A77" s="50" t="s">
        <v>329</v>
      </c>
      <c r="B77" s="10"/>
    </row>
    <row r="78" spans="1:5" x14ac:dyDescent="0.2">
      <c r="A78" s="7"/>
      <c r="B78" s="10"/>
    </row>
    <row r="79" spans="1:5" x14ac:dyDescent="0.2">
      <c r="A79" s="53" t="s">
        <v>330</v>
      </c>
      <c r="B79" s="10"/>
    </row>
    <row r="80" spans="1:5" x14ac:dyDescent="0.2">
      <c r="A80" s="52" t="s">
        <v>331</v>
      </c>
      <c r="B80" s="10"/>
    </row>
    <row r="81" spans="1:5" x14ac:dyDescent="0.2">
      <c r="A81" s="53" t="s">
        <v>332</v>
      </c>
      <c r="B81" s="10"/>
    </row>
    <row r="82" spans="1:5" x14ac:dyDescent="0.2">
      <c r="A82" s="7"/>
      <c r="B82" s="10"/>
    </row>
    <row r="83" spans="1:5" x14ac:dyDescent="0.2">
      <c r="A83" s="60" t="s">
        <v>333</v>
      </c>
      <c r="B83" s="61"/>
      <c r="C83" s="32"/>
      <c r="D83" s="32"/>
      <c r="E83" s="32"/>
    </row>
    <row r="84" spans="1:5" x14ac:dyDescent="0.2">
      <c r="A84" s="7"/>
      <c r="B84" s="10"/>
    </row>
    <row r="85" spans="1:5" x14ac:dyDescent="0.2">
      <c r="A85" s="62" t="s">
        <v>334</v>
      </c>
      <c r="B85" s="57"/>
      <c r="C85" s="58"/>
      <c r="D85" s="58"/>
      <c r="E85" s="58"/>
    </row>
    <row r="86" spans="1:5" x14ac:dyDescent="0.2">
      <c r="A86" s="7"/>
      <c r="B86" s="10"/>
    </row>
    <row r="87" spans="1:5" x14ac:dyDescent="0.2">
      <c r="A87" s="7"/>
      <c r="B87" s="10"/>
    </row>
    <row r="88" spans="1:5" x14ac:dyDescent="0.2">
      <c r="A88" s="7"/>
      <c r="B88" s="10"/>
    </row>
    <row r="89" spans="1:5" x14ac:dyDescent="0.2">
      <c r="A89" s="63" t="s">
        <v>335</v>
      </c>
      <c r="B89" s="64"/>
      <c r="C89" s="65"/>
      <c r="D89" s="65"/>
      <c r="E89" s="65"/>
    </row>
    <row r="90" spans="1:5" x14ac:dyDescent="0.2">
      <c r="A90" s="7"/>
      <c r="B90" s="10"/>
    </row>
    <row r="91" spans="1:5" x14ac:dyDescent="0.2">
      <c r="A91" s="59" t="s">
        <v>336</v>
      </c>
      <c r="B91" s="10"/>
    </row>
    <row r="92" spans="1:5" x14ac:dyDescent="0.2">
      <c r="A92" s="7"/>
      <c r="B92" s="10"/>
    </row>
    <row r="93" spans="1:5" x14ac:dyDescent="0.2">
      <c r="A93" s="50" t="s">
        <v>329</v>
      </c>
      <c r="B93" s="10"/>
    </row>
    <row r="94" spans="1:5" x14ac:dyDescent="0.2">
      <c r="A94" s="7"/>
      <c r="B94" s="10"/>
    </row>
    <row r="95" spans="1:5" x14ac:dyDescent="0.2">
      <c r="A95" s="53" t="s">
        <v>337</v>
      </c>
      <c r="B95" s="10"/>
    </row>
    <row r="96" spans="1:5" x14ac:dyDescent="0.2">
      <c r="A96" s="52" t="s">
        <v>338</v>
      </c>
      <c r="B96" s="10"/>
    </row>
    <row r="97" spans="1:5" x14ac:dyDescent="0.2">
      <c r="A97" s="53" t="s">
        <v>339</v>
      </c>
      <c r="B97" s="10"/>
    </row>
    <row r="98" spans="1:5" x14ac:dyDescent="0.2">
      <c r="A98" s="7"/>
      <c r="B98" s="10"/>
    </row>
    <row r="99" spans="1:5" x14ac:dyDescent="0.2">
      <c r="A99" s="50" t="s">
        <v>340</v>
      </c>
      <c r="B99" s="10"/>
    </row>
    <row r="100" spans="1:5" x14ac:dyDescent="0.2">
      <c r="A100" s="7"/>
    </row>
    <row r="101" spans="1:5" x14ac:dyDescent="0.2">
      <c r="A101" s="66" t="s">
        <v>341</v>
      </c>
    </row>
    <row r="102" spans="1:5" x14ac:dyDescent="0.2">
      <c r="A102" s="66" t="s">
        <v>342</v>
      </c>
    </row>
    <row r="103" spans="1:5" x14ac:dyDescent="0.2">
      <c r="A103" s="66" t="s">
        <v>343</v>
      </c>
    </row>
    <row r="104" spans="1:5" x14ac:dyDescent="0.2">
      <c r="A104" s="66" t="s">
        <v>344</v>
      </c>
    </row>
    <row r="105" spans="1:5" x14ac:dyDescent="0.2">
      <c r="A105" s="7"/>
    </row>
    <row r="106" spans="1:5" x14ac:dyDescent="0.2">
      <c r="A106" s="60" t="s">
        <v>414</v>
      </c>
      <c r="B106" s="49"/>
      <c r="C106" s="32"/>
      <c r="D106" s="32"/>
      <c r="E106" s="32"/>
    </row>
    <row r="107" spans="1:5" x14ac:dyDescent="0.2">
      <c r="A107" s="7"/>
    </row>
    <row r="108" spans="1:5" x14ac:dyDescent="0.2">
      <c r="A108" s="67" t="s">
        <v>345</v>
      </c>
      <c r="B108" s="68"/>
      <c r="C108" s="65"/>
      <c r="D108" s="65"/>
      <c r="E108" s="65"/>
    </row>
    <row r="109" spans="1:5" x14ac:dyDescent="0.2">
      <c r="A109" s="7"/>
    </row>
    <row r="110" spans="1:5" x14ac:dyDescent="0.2">
      <c r="A110" s="7"/>
    </row>
    <row r="111" spans="1:5" x14ac:dyDescent="0.2">
      <c r="A111" s="7"/>
    </row>
    <row r="112" spans="1:5" x14ac:dyDescent="0.2">
      <c r="A112" s="69" t="s">
        <v>346</v>
      </c>
      <c r="B112" s="70"/>
      <c r="C112" s="37"/>
      <c r="D112" s="37"/>
      <c r="E112" s="37"/>
    </row>
    <row r="113" spans="1:1" x14ac:dyDescent="0.2">
      <c r="A113" s="7"/>
    </row>
    <row r="114" spans="1:1" x14ac:dyDescent="0.2">
      <c r="A114" s="59" t="s">
        <v>347</v>
      </c>
    </row>
    <row r="115" spans="1:1" x14ac:dyDescent="0.2">
      <c r="A115" s="7"/>
    </row>
    <row r="116" spans="1:1" x14ac:dyDescent="0.2">
      <c r="A116" s="50" t="s">
        <v>348</v>
      </c>
    </row>
    <row r="117" spans="1:1" x14ac:dyDescent="0.2">
      <c r="A117" s="7"/>
    </row>
    <row r="118" spans="1:1" x14ac:dyDescent="0.2">
      <c r="A118" s="53" t="s">
        <v>349</v>
      </c>
    </row>
    <row r="119" spans="1:1" x14ac:dyDescent="0.2">
      <c r="A119" s="52" t="s">
        <v>350</v>
      </c>
    </row>
    <row r="120" spans="1:1" x14ac:dyDescent="0.2">
      <c r="A120" s="53" t="s">
        <v>351</v>
      </c>
    </row>
    <row r="121" spans="1:1" x14ac:dyDescent="0.2">
      <c r="A121" s="7"/>
    </row>
    <row r="122" spans="1:1" x14ac:dyDescent="0.2">
      <c r="A122" s="50" t="s">
        <v>352</v>
      </c>
    </row>
    <row r="123" spans="1:1" x14ac:dyDescent="0.2">
      <c r="A123" s="7"/>
    </row>
    <row r="124" spans="1:1" x14ac:dyDescent="0.2">
      <c r="A124" s="71" t="s">
        <v>353</v>
      </c>
    </row>
    <row r="125" spans="1:1" x14ac:dyDescent="0.2">
      <c r="A125" s="71" t="s">
        <v>354</v>
      </c>
    </row>
    <row r="126" spans="1:1" x14ac:dyDescent="0.2">
      <c r="A126" s="71" t="s">
        <v>355</v>
      </c>
    </row>
    <row r="127" spans="1:1" x14ac:dyDescent="0.2">
      <c r="A127" s="71" t="s">
        <v>356</v>
      </c>
    </row>
    <row r="128" spans="1:1" x14ac:dyDescent="0.2">
      <c r="A128" s="71" t="s">
        <v>357</v>
      </c>
    </row>
    <row r="129" spans="1:5" x14ac:dyDescent="0.2">
      <c r="A129" s="7"/>
    </row>
    <row r="130" spans="1:5" x14ac:dyDescent="0.2">
      <c r="A130" s="60" t="s">
        <v>358</v>
      </c>
      <c r="B130" s="49"/>
      <c r="C130" s="32"/>
      <c r="D130" s="32"/>
      <c r="E130" s="32"/>
    </row>
    <row r="131" spans="1:5" x14ac:dyDescent="0.2">
      <c r="A131" s="7"/>
    </row>
    <row r="132" spans="1:5" x14ac:dyDescent="0.2">
      <c r="A132" s="72" t="s">
        <v>359</v>
      </c>
      <c r="B132" s="70"/>
      <c r="C132" s="37"/>
      <c r="D132" s="37"/>
      <c r="E132" s="37"/>
    </row>
    <row r="133" spans="1:5" x14ac:dyDescent="0.2">
      <c r="A133" s="7"/>
    </row>
    <row r="134" spans="1:5" x14ac:dyDescent="0.2">
      <c r="A134" s="7"/>
    </row>
    <row r="135" spans="1:5" x14ac:dyDescent="0.2">
      <c r="A135" s="7"/>
    </row>
    <row r="136" spans="1:5" x14ac:dyDescent="0.2">
      <c r="A136" s="73" t="s">
        <v>360</v>
      </c>
      <c r="B136" s="42"/>
      <c r="C136" s="19"/>
      <c r="D136" s="19"/>
      <c r="E136" s="19"/>
    </row>
    <row r="137" spans="1:5" x14ac:dyDescent="0.2">
      <c r="A137" s="74"/>
      <c r="B137" s="42"/>
      <c r="C137" s="19"/>
      <c r="D137" s="19"/>
      <c r="E137" s="19"/>
    </row>
    <row r="138" spans="1:5" x14ac:dyDescent="0.2">
      <c r="A138" s="73" t="s">
        <v>236</v>
      </c>
      <c r="B138" s="42"/>
      <c r="C138" s="19"/>
      <c r="D138" s="19"/>
      <c r="E138" s="19"/>
    </row>
    <row r="139" spans="1:5" x14ac:dyDescent="0.2">
      <c r="A139" s="73" t="s">
        <v>361</v>
      </c>
      <c r="B139" s="42"/>
      <c r="C139" s="19"/>
      <c r="D139" s="19"/>
      <c r="E139" s="1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K22"/>
  <sheetViews>
    <sheetView showGridLines="0" topLeftCell="E1" zoomScale="98" zoomScaleNormal="98" workbookViewId="0">
      <pane ySplit="2" topLeftCell="A18" activePane="bottomLeft" state="frozen"/>
      <selection pane="bottomLeft" activeCell="K1" sqref="K1"/>
    </sheetView>
  </sheetViews>
  <sheetFormatPr baseColWidth="10" defaultColWidth="8.33203125" defaultRowHeight="20" customHeight="1" x14ac:dyDescent="0.2"/>
  <cols>
    <col min="1" max="1" width="11.6640625" style="12" customWidth="1"/>
    <col min="2" max="2" width="26.6640625" style="15" customWidth="1"/>
    <col min="3" max="3" width="33.33203125" style="15" customWidth="1"/>
    <col min="4" max="4" width="19.1640625" style="12" customWidth="1"/>
    <col min="5" max="5" width="36.6640625" style="15" customWidth="1"/>
    <col min="6" max="6" width="53.33203125" style="12" customWidth="1"/>
    <col min="7" max="7" width="53.33203125" style="15" customWidth="1"/>
    <col min="8" max="8" width="58.33203125" style="12" customWidth="1"/>
    <col min="9" max="9" width="46.6640625" style="12" customWidth="1"/>
    <col min="10" max="10" width="10" style="12" customWidth="1"/>
    <col min="11" max="11" width="8.33203125" style="12" customWidth="1"/>
    <col min="12" max="16384" width="8.33203125" style="12"/>
  </cols>
  <sheetData>
    <row r="1" spans="1:11" ht="27.75" customHeight="1" x14ac:dyDescent="0.2">
      <c r="A1" s="187" t="s">
        <v>415</v>
      </c>
      <c r="B1" s="188"/>
      <c r="C1" s="188"/>
      <c r="D1" s="188"/>
      <c r="E1" s="188"/>
      <c r="F1" s="188"/>
      <c r="G1" s="188"/>
      <c r="H1" s="188"/>
      <c r="I1" s="188"/>
      <c r="J1" s="189"/>
      <c r="K1" s="104"/>
    </row>
    <row r="2" spans="1:11" s="13" customFormat="1" ht="20.25" customHeight="1" x14ac:dyDescent="0.2">
      <c r="A2" s="106" t="s">
        <v>366</v>
      </c>
      <c r="B2" s="107" t="s">
        <v>1</v>
      </c>
      <c r="C2" s="108" t="s">
        <v>367</v>
      </c>
      <c r="D2" s="109" t="s">
        <v>3</v>
      </c>
      <c r="E2" s="108" t="s">
        <v>368</v>
      </c>
      <c r="F2" s="110" t="s">
        <v>369</v>
      </c>
      <c r="G2" s="108" t="s">
        <v>7</v>
      </c>
      <c r="H2" s="110" t="s">
        <v>370</v>
      </c>
      <c r="I2" s="111" t="s">
        <v>8</v>
      </c>
      <c r="J2" s="139" t="s">
        <v>371</v>
      </c>
      <c r="K2" s="105"/>
    </row>
    <row r="3" spans="1:11" s="14" customFormat="1" ht="68" x14ac:dyDescent="0.2">
      <c r="A3" s="112">
        <v>1.1000000000000001</v>
      </c>
      <c r="B3" s="113" t="s">
        <v>9</v>
      </c>
      <c r="C3" s="114" t="s">
        <v>372</v>
      </c>
      <c r="D3" s="115" t="s">
        <v>373</v>
      </c>
      <c r="E3" s="114" t="s">
        <v>12</v>
      </c>
      <c r="F3" s="114" t="s">
        <v>13</v>
      </c>
      <c r="G3" s="114" t="s">
        <v>14</v>
      </c>
      <c r="H3" s="114" t="s">
        <v>374</v>
      </c>
      <c r="I3" s="116" t="s">
        <v>15</v>
      </c>
      <c r="J3" s="133" t="s">
        <v>375</v>
      </c>
      <c r="K3" s="103"/>
    </row>
    <row r="4" spans="1:11" s="14" customFormat="1" ht="68" x14ac:dyDescent="0.2">
      <c r="A4" s="117">
        <v>1.2</v>
      </c>
      <c r="B4" s="118" t="s">
        <v>16</v>
      </c>
      <c r="C4" s="119" t="s">
        <v>372</v>
      </c>
      <c r="D4" s="115" t="s">
        <v>373</v>
      </c>
      <c r="E4" s="119" t="s">
        <v>17</v>
      </c>
      <c r="F4" s="119" t="s">
        <v>18</v>
      </c>
      <c r="G4" s="119" t="s">
        <v>19</v>
      </c>
      <c r="H4" s="119" t="s">
        <v>376</v>
      </c>
      <c r="I4" s="120" t="s">
        <v>20</v>
      </c>
      <c r="J4" s="134" t="s">
        <v>375</v>
      </c>
      <c r="K4" s="103"/>
    </row>
    <row r="5" spans="1:11" s="14" customFormat="1" ht="85" x14ac:dyDescent="0.2">
      <c r="A5" s="112">
        <v>1.3</v>
      </c>
      <c r="B5" s="113" t="s">
        <v>21</v>
      </c>
      <c r="C5" s="114" t="s">
        <v>372</v>
      </c>
      <c r="D5" s="121" t="s">
        <v>417</v>
      </c>
      <c r="E5" s="114" t="s">
        <v>22</v>
      </c>
      <c r="F5" s="114" t="s">
        <v>23</v>
      </c>
      <c r="G5" s="114" t="s">
        <v>24</v>
      </c>
      <c r="H5" s="114" t="s">
        <v>377</v>
      </c>
      <c r="I5" s="116" t="s">
        <v>25</v>
      </c>
      <c r="J5" s="135" t="s">
        <v>378</v>
      </c>
      <c r="K5" s="103"/>
    </row>
    <row r="6" spans="1:11" s="14" customFormat="1" ht="85" x14ac:dyDescent="0.2">
      <c r="A6" s="117">
        <v>1.4</v>
      </c>
      <c r="B6" s="118" t="s">
        <v>26</v>
      </c>
      <c r="C6" s="119" t="s">
        <v>372</v>
      </c>
      <c r="D6" s="121" t="s">
        <v>417</v>
      </c>
      <c r="E6" s="119" t="s">
        <v>27</v>
      </c>
      <c r="F6" s="119" t="s">
        <v>28</v>
      </c>
      <c r="G6" s="119" t="s">
        <v>29</v>
      </c>
      <c r="H6" s="119" t="s">
        <v>379</v>
      </c>
      <c r="I6" s="120" t="s">
        <v>30</v>
      </c>
      <c r="J6" s="136" t="s">
        <v>378</v>
      </c>
      <c r="K6" s="103"/>
    </row>
    <row r="7" spans="1:11" s="14" customFormat="1" ht="85" x14ac:dyDescent="0.2">
      <c r="A7" s="112">
        <v>1.5</v>
      </c>
      <c r="B7" s="113" t="s">
        <v>31</v>
      </c>
      <c r="C7" s="114" t="s">
        <v>372</v>
      </c>
      <c r="D7" s="121" t="s">
        <v>417</v>
      </c>
      <c r="E7" s="114" t="s">
        <v>27</v>
      </c>
      <c r="F7" s="114" t="s">
        <v>32</v>
      </c>
      <c r="G7" s="114" t="s">
        <v>33</v>
      </c>
      <c r="H7" s="114" t="s">
        <v>380</v>
      </c>
      <c r="I7" s="116" t="s">
        <v>34</v>
      </c>
      <c r="J7" s="138" t="s">
        <v>378</v>
      </c>
      <c r="K7" s="103"/>
    </row>
    <row r="8" spans="1:11" s="14" customFormat="1" ht="68" x14ac:dyDescent="0.2">
      <c r="A8" s="117">
        <v>2.1</v>
      </c>
      <c r="B8" s="118" t="s">
        <v>35</v>
      </c>
      <c r="C8" s="119" t="s">
        <v>381</v>
      </c>
      <c r="D8" s="121" t="s">
        <v>417</v>
      </c>
      <c r="E8" s="119" t="s">
        <v>37</v>
      </c>
      <c r="F8" s="119" t="s">
        <v>38</v>
      </c>
      <c r="G8" s="119" t="s">
        <v>39</v>
      </c>
      <c r="H8" s="119" t="s">
        <v>382</v>
      </c>
      <c r="I8" s="120" t="s">
        <v>40</v>
      </c>
      <c r="J8" s="134" t="s">
        <v>383</v>
      </c>
      <c r="K8" s="103"/>
    </row>
    <row r="9" spans="1:11" s="14" customFormat="1" ht="85" x14ac:dyDescent="0.2">
      <c r="A9" s="112">
        <v>2.2000000000000002</v>
      </c>
      <c r="B9" s="113" t="s">
        <v>41</v>
      </c>
      <c r="C9" s="114" t="s">
        <v>381</v>
      </c>
      <c r="D9" s="122" t="s">
        <v>384</v>
      </c>
      <c r="E9" s="114" t="s">
        <v>43</v>
      </c>
      <c r="F9" s="114" t="s">
        <v>44</v>
      </c>
      <c r="G9" s="114" t="s">
        <v>45</v>
      </c>
      <c r="H9" s="114" t="s">
        <v>385</v>
      </c>
      <c r="I9" s="116" t="s">
        <v>46</v>
      </c>
      <c r="J9" s="135" t="s">
        <v>375</v>
      </c>
      <c r="K9" s="103"/>
    </row>
    <row r="10" spans="1:11" s="14" customFormat="1" ht="85" x14ac:dyDescent="0.2">
      <c r="A10" s="117">
        <v>2.2999999999999998</v>
      </c>
      <c r="B10" s="118" t="s">
        <v>47</v>
      </c>
      <c r="C10" s="119" t="s">
        <v>381</v>
      </c>
      <c r="D10" s="122" t="s">
        <v>384</v>
      </c>
      <c r="E10" s="119" t="s">
        <v>48</v>
      </c>
      <c r="F10" s="119" t="s">
        <v>49</v>
      </c>
      <c r="G10" s="119" t="s">
        <v>50</v>
      </c>
      <c r="H10" s="119" t="s">
        <v>386</v>
      </c>
      <c r="I10" s="120" t="s">
        <v>51</v>
      </c>
      <c r="J10" s="136" t="s">
        <v>375</v>
      </c>
      <c r="K10" s="103"/>
    </row>
    <row r="11" spans="1:11" s="14" customFormat="1" ht="85" x14ac:dyDescent="0.2">
      <c r="A11" s="112">
        <v>2.4</v>
      </c>
      <c r="B11" s="113" t="s">
        <v>52</v>
      </c>
      <c r="C11" s="114" t="s">
        <v>381</v>
      </c>
      <c r="D11" s="121" t="s">
        <v>417</v>
      </c>
      <c r="E11" s="114" t="s">
        <v>387</v>
      </c>
      <c r="F11" s="114" t="s">
        <v>53</v>
      </c>
      <c r="G11" s="114" t="s">
        <v>54</v>
      </c>
      <c r="H11" s="114" t="s">
        <v>388</v>
      </c>
      <c r="I11" s="116" t="s">
        <v>389</v>
      </c>
      <c r="J11" s="135" t="s">
        <v>375</v>
      </c>
      <c r="K11" s="103"/>
    </row>
    <row r="12" spans="1:11" s="14" customFormat="1" ht="68" x14ac:dyDescent="0.2">
      <c r="A12" s="117">
        <v>2.5</v>
      </c>
      <c r="B12" s="118" t="s">
        <v>55</v>
      </c>
      <c r="C12" s="119" t="s">
        <v>381</v>
      </c>
      <c r="D12" s="122" t="s">
        <v>384</v>
      </c>
      <c r="E12" s="119" t="s">
        <v>56</v>
      </c>
      <c r="F12" s="119" t="s">
        <v>57</v>
      </c>
      <c r="G12" s="119" t="s">
        <v>58</v>
      </c>
      <c r="H12" s="119" t="s">
        <v>390</v>
      </c>
      <c r="I12" s="120" t="s">
        <v>59</v>
      </c>
      <c r="J12" s="136" t="s">
        <v>383</v>
      </c>
      <c r="K12" s="103"/>
    </row>
    <row r="13" spans="1:11" s="14" customFormat="1" ht="68" x14ac:dyDescent="0.2">
      <c r="A13" s="112">
        <v>2.6</v>
      </c>
      <c r="B13" s="113" t="s">
        <v>60</v>
      </c>
      <c r="C13" s="114" t="s">
        <v>381</v>
      </c>
      <c r="D13" s="122" t="s">
        <v>384</v>
      </c>
      <c r="E13" s="114" t="s">
        <v>22</v>
      </c>
      <c r="F13" s="114" t="s">
        <v>61</v>
      </c>
      <c r="G13" s="114" t="s">
        <v>62</v>
      </c>
      <c r="H13" s="114" t="s">
        <v>391</v>
      </c>
      <c r="I13" s="116" t="s">
        <v>63</v>
      </c>
      <c r="J13" s="135" t="s">
        <v>378</v>
      </c>
      <c r="K13" s="103"/>
    </row>
    <row r="14" spans="1:11" s="14" customFormat="1" ht="68" x14ac:dyDescent="0.2">
      <c r="A14" s="117">
        <v>2.7</v>
      </c>
      <c r="B14" s="118" t="s">
        <v>64</v>
      </c>
      <c r="C14" s="119" t="s">
        <v>381</v>
      </c>
      <c r="D14" s="121" t="s">
        <v>417</v>
      </c>
      <c r="E14" s="119" t="s">
        <v>65</v>
      </c>
      <c r="F14" s="119" t="s">
        <v>66</v>
      </c>
      <c r="G14" s="119" t="s">
        <v>67</v>
      </c>
      <c r="H14" s="119" t="s">
        <v>392</v>
      </c>
      <c r="I14" s="120" t="s">
        <v>68</v>
      </c>
      <c r="J14" s="136" t="s">
        <v>378</v>
      </c>
      <c r="K14" s="103"/>
    </row>
    <row r="15" spans="1:11" s="14" customFormat="1" ht="170" x14ac:dyDescent="0.2">
      <c r="A15" s="112">
        <v>2.8</v>
      </c>
      <c r="B15" s="113" t="s">
        <v>69</v>
      </c>
      <c r="C15" s="114" t="s">
        <v>381</v>
      </c>
      <c r="D15" s="121" t="s">
        <v>417</v>
      </c>
      <c r="E15" s="114" t="s">
        <v>362</v>
      </c>
      <c r="F15" s="114" t="s">
        <v>364</v>
      </c>
      <c r="G15" s="114" t="s">
        <v>365</v>
      </c>
      <c r="H15" s="114" t="s">
        <v>416</v>
      </c>
      <c r="I15" s="116" t="s">
        <v>393</v>
      </c>
      <c r="J15" s="135" t="s">
        <v>378</v>
      </c>
      <c r="K15" s="103"/>
    </row>
    <row r="16" spans="1:11" s="14" customFormat="1" ht="85" x14ac:dyDescent="0.2">
      <c r="A16" s="117">
        <v>3.1</v>
      </c>
      <c r="B16" s="118" t="s">
        <v>70</v>
      </c>
      <c r="C16" s="119" t="s">
        <v>394</v>
      </c>
      <c r="D16" s="115" t="s">
        <v>373</v>
      </c>
      <c r="E16" s="119" t="s">
        <v>72</v>
      </c>
      <c r="F16" s="119" t="s">
        <v>73</v>
      </c>
      <c r="G16" s="119" t="s">
        <v>74</v>
      </c>
      <c r="H16" s="119" t="s">
        <v>395</v>
      </c>
      <c r="I16" s="120" t="s">
        <v>75</v>
      </c>
      <c r="J16" s="136" t="s">
        <v>375</v>
      </c>
      <c r="K16" s="103"/>
    </row>
    <row r="17" spans="1:11" s="14" customFormat="1" ht="85" x14ac:dyDescent="0.2">
      <c r="A17" s="112">
        <v>4.0999999999999996</v>
      </c>
      <c r="B17" s="113" t="s">
        <v>76</v>
      </c>
      <c r="C17" s="114" t="s">
        <v>396</v>
      </c>
      <c r="D17" s="121" t="s">
        <v>417</v>
      </c>
      <c r="E17" s="114" t="s">
        <v>27</v>
      </c>
      <c r="F17" s="114" t="s">
        <v>78</v>
      </c>
      <c r="G17" s="114" t="s">
        <v>79</v>
      </c>
      <c r="H17" s="114" t="s">
        <v>397</v>
      </c>
      <c r="I17" s="116" t="s">
        <v>80</v>
      </c>
      <c r="J17" s="135" t="s">
        <v>383</v>
      </c>
      <c r="K17" s="103"/>
    </row>
    <row r="18" spans="1:11" s="14" customFormat="1" ht="68" x14ac:dyDescent="0.2">
      <c r="A18" s="117">
        <v>5.0999999999999996</v>
      </c>
      <c r="B18" s="118" t="s">
        <v>81</v>
      </c>
      <c r="C18" s="119" t="s">
        <v>398</v>
      </c>
      <c r="D18" s="121" t="s">
        <v>417</v>
      </c>
      <c r="E18" s="119" t="s">
        <v>83</v>
      </c>
      <c r="F18" s="119" t="s">
        <v>84</v>
      </c>
      <c r="G18" s="119" t="s">
        <v>85</v>
      </c>
      <c r="H18" s="119" t="s">
        <v>399</v>
      </c>
      <c r="I18" s="120" t="s">
        <v>86</v>
      </c>
      <c r="J18" s="136" t="s">
        <v>400</v>
      </c>
      <c r="K18" s="103"/>
    </row>
    <row r="19" spans="1:11" s="14" customFormat="1" ht="85" x14ac:dyDescent="0.2">
      <c r="A19" s="123" t="s">
        <v>87</v>
      </c>
      <c r="B19" s="113" t="s">
        <v>88</v>
      </c>
      <c r="C19" s="114" t="s">
        <v>401</v>
      </c>
      <c r="D19" s="121" t="s">
        <v>417</v>
      </c>
      <c r="E19" s="114" t="s">
        <v>90</v>
      </c>
      <c r="F19" s="114" t="s">
        <v>91</v>
      </c>
      <c r="G19" s="114" t="s">
        <v>92</v>
      </c>
      <c r="H19" s="114" t="s">
        <v>402</v>
      </c>
      <c r="I19" s="116" t="s">
        <v>93</v>
      </c>
      <c r="J19" s="135" t="s">
        <v>378</v>
      </c>
      <c r="K19" s="103"/>
    </row>
    <row r="20" spans="1:11" s="14" customFormat="1" ht="68" x14ac:dyDescent="0.2">
      <c r="A20" s="124" t="s">
        <v>94</v>
      </c>
      <c r="B20" s="118" t="s">
        <v>95</v>
      </c>
      <c r="C20" s="119" t="s">
        <v>401</v>
      </c>
      <c r="D20" s="121" t="s">
        <v>417</v>
      </c>
      <c r="E20" s="119" t="s">
        <v>96</v>
      </c>
      <c r="F20" s="119" t="s">
        <v>97</v>
      </c>
      <c r="G20" s="119" t="s">
        <v>98</v>
      </c>
      <c r="H20" s="119" t="s">
        <v>403</v>
      </c>
      <c r="I20" s="120" t="s">
        <v>99</v>
      </c>
      <c r="J20" s="136" t="s">
        <v>378</v>
      </c>
      <c r="K20" s="103"/>
    </row>
    <row r="21" spans="1:11" s="14" customFormat="1" ht="85" x14ac:dyDescent="0.2">
      <c r="A21" s="123" t="s">
        <v>100</v>
      </c>
      <c r="B21" s="125" t="s">
        <v>101</v>
      </c>
      <c r="C21" s="126" t="s">
        <v>404</v>
      </c>
      <c r="D21" s="127" t="s">
        <v>384</v>
      </c>
      <c r="E21" s="126" t="s">
        <v>103</v>
      </c>
      <c r="F21" s="126" t="s">
        <v>104</v>
      </c>
      <c r="G21" s="126" t="s">
        <v>105</v>
      </c>
      <c r="H21" s="126" t="s">
        <v>405</v>
      </c>
      <c r="I21" s="128" t="s">
        <v>106</v>
      </c>
      <c r="J21" s="135" t="s">
        <v>375</v>
      </c>
      <c r="K21" s="103"/>
    </row>
    <row r="22" spans="1:11" s="14" customFormat="1" ht="85" x14ac:dyDescent="0.2">
      <c r="A22" s="129" t="s">
        <v>107</v>
      </c>
      <c r="B22" s="130" t="s">
        <v>108</v>
      </c>
      <c r="C22" s="131" t="s">
        <v>404</v>
      </c>
      <c r="D22" s="132" t="s">
        <v>384</v>
      </c>
      <c r="E22" s="131" t="s">
        <v>109</v>
      </c>
      <c r="F22" s="131" t="s">
        <v>110</v>
      </c>
      <c r="G22" s="131" t="s">
        <v>111</v>
      </c>
      <c r="H22" s="131" t="s">
        <v>406</v>
      </c>
      <c r="I22" s="131" t="s">
        <v>112</v>
      </c>
      <c r="J22" s="137" t="s">
        <v>375</v>
      </c>
      <c r="K22" s="103"/>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2.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F48E296-90D9-4A92-A29D-759F46DCA7D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Evidence Matrix</vt:lpstr>
      <vt:lpstr>Summary</vt:lpstr>
      <vt:lpstr>Methodology</vt:lpstr>
      <vt:lpstr>Rating Criteria</vt:lpstr>
      <vt:lpstr>output-assessment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2026-01-30T08:00:07Z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